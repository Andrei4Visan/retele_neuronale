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 Visan\Downloads\"/>
    </mc:Choice>
  </mc:AlternateContent>
  <xr:revisionPtr revIDLastSave="0" documentId="8_{6D99EDA4-A34B-435B-B555-B2D755AB19F0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Industry" sheetId="2" r:id="rId1"/>
    <sheet name="Transport" sheetId="3" r:id="rId2"/>
    <sheet name="Services" sheetId="4" r:id="rId3"/>
    <sheet name="Households" sheetId="5" r:id="rId4"/>
    <sheet name="Agriculture" sheetId="6" r:id="rId5"/>
    <sheet name="Total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B3" i="7"/>
  <c r="B4" i="7"/>
  <c r="B5" i="7"/>
  <c r="B6" i="7"/>
  <c r="B7" i="7"/>
  <c r="B8" i="7"/>
  <c r="B9" i="7"/>
  <c r="B10" i="7"/>
  <c r="B11" i="7"/>
  <c r="B12" i="7"/>
  <c r="B2" i="7"/>
</calcChain>
</file>

<file path=xl/sharedStrings.xml><?xml version="1.0" encoding="utf-8"?>
<sst xmlns="http://schemas.openxmlformats.org/spreadsheetml/2006/main" count="306" uniqueCount="48">
  <si>
    <t>TIME</t>
  </si>
  <si>
    <t>1990</t>
  </si>
  <si>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</si>
  <si>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</si>
  <si>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</si>
  <si>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</si>
  <si>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</si>
  <si>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</si>
  <si>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</si>
  <si>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</si>
  <si>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</si>
  <si>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</si>
  <si>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</si>
  <si>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</si>
  <si>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</si>
  <si>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</si>
  <si>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</si>
  <si>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</si>
  <si>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</si>
  <si>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</si>
  <si>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</si>
  <si>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</si>
  <si>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</si>
  <si>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</si>
  <si>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</si>
  <si>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</si>
  <si>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</si>
  <si>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</si>
  <si>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</si>
  <si>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</si>
  <si>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</si>
  <si>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</si>
  <si>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</si>
  <si>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</si>
  <si>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</si>
  <si>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</si>
  <si>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</si>
  <si>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Bulgaria</t>
  </si>
  <si>
    <t>Czechia</t>
  </si>
  <si>
    <t>Estonia</t>
  </si>
  <si>
    <t>Croatia</t>
  </si>
  <si>
    <t>Latvia</t>
  </si>
  <si>
    <t>Lithuania</t>
  </si>
  <si>
    <t>Hungary</t>
  </si>
  <si>
    <t>Poland</t>
  </si>
  <si>
    <t>Romania</t>
  </si>
  <si>
    <t>Slovenia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</si>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</sst>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5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 shrinkToFit="1"/>
    </xf>
    <xf numFmtId="164" fontId="2" fillId="4" borderId="0" xfId="0" applyNumberFormat="1" applyFont="1" applyFill="1" applyAlignment="1">
      <alignment horizontal="center" vertical="center" shrinkToFit="1"/>
    </xf>
    <xf numFmtId="3" fontId="2" fillId="4" borderId="0" xfId="0" applyNumberFormat="1" applyFont="1" applyFill="1" applyAlignment="1">
      <alignment horizontal="center" vertical="center" shrinkToFit="1"/>
    </xf>
    <xf numFmtId="164" fontId="2" fillId="0" borderId="0" xfId="0" applyNumberFormat="1" applyFont="1" applyAlignment="1">
      <alignment horizontal="center" vertical="center" shrinkToFit="1"/>
    </xf>
    <xf numFmtId="165" fontId="2" fillId="0" borderId="0" xfId="0" applyNumberFormat="1" applyFont="1" applyAlignment="1">
      <alignment horizontal="center" vertical="center" shrinkToFit="1"/>
    </xf>
    <xf numFmtId="3" fontId="2" fillId="0" borderId="0" xfId="0" applyNumberFormat="1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2"/>
  <sheetViews>
    <sheetView workbookViewId="0">
      <pane xSplit="1" ySplit="1" topLeftCell="B2" activePane="bottomRight" state="frozen"/>
      <selection pane="topRight"/>
      <selection pane="bottomLeft"/>
      <selection pane="bottomRight" activeCell="D29" sqref="D29"/>
    </sheetView>
  </sheetViews>
  <sheetFormatPr defaultRowHeight="11.4" customHeight="1" x14ac:dyDescent="0.35"/>
  <cols>
    <col min="1" max="1" width="11.90625" style="10" customWidth="1"/>
    <col min="2" max="36" width="10" style="10" customWidth="1"/>
    <col min="37" max="37" width="5" style="10" customWidth="1"/>
    <col min="38" max="16384" width="8.7265625" style="10"/>
  </cols>
  <sheetData>
    <row r="1" spans="1:37" x14ac:dyDescent="0.35">
      <c r="A1" s="8" t="s">
        <v>0</v>
      </c>
      <c r="B1" s="8" t="s">
        <v>1</v>
      </c>
      <c r="C1" s="9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18" t="s">
        <v>36</v>
      </c>
      <c r="AK1" s="18" t="s">
        <v>2</v>
      </c>
    </row>
    <row r="2" spans="1:37" x14ac:dyDescent="0.35">
      <c r="A2" s="11" t="s">
        <v>37</v>
      </c>
      <c r="B2" s="12">
        <v>8933.8799999999992</v>
      </c>
      <c r="C2" s="13">
        <v>6720.9350000000004</v>
      </c>
      <c r="D2" s="13">
        <v>5443.3090000000002</v>
      </c>
      <c r="E2" s="13">
        <v>4718.0959999999995</v>
      </c>
      <c r="F2" s="13">
        <v>5049.8019999999997</v>
      </c>
      <c r="G2" s="13">
        <v>5688.5959999999995</v>
      </c>
      <c r="H2" s="12">
        <v>5663.87</v>
      </c>
      <c r="I2" s="13">
        <v>5544.7150000000001</v>
      </c>
      <c r="J2" s="13">
        <v>4631.8810000000003</v>
      </c>
      <c r="K2" s="13">
        <v>3520.2330000000002</v>
      </c>
      <c r="L2" s="13">
        <v>3589.527</v>
      </c>
      <c r="M2" s="13">
        <v>3587.9380000000001</v>
      </c>
      <c r="N2" s="13">
        <v>3370.8519999999999</v>
      </c>
      <c r="O2" s="13">
        <v>3620.1039999999998</v>
      </c>
      <c r="P2" s="13">
        <v>3656.9490000000001</v>
      </c>
      <c r="Q2" s="13">
        <v>3649.8989999999999</v>
      </c>
      <c r="R2" s="13">
        <v>3680.9520000000002</v>
      </c>
      <c r="S2" s="13">
        <v>3811.018</v>
      </c>
      <c r="T2" s="13">
        <v>3453.8420000000001</v>
      </c>
      <c r="U2" s="13">
        <v>2442.0630000000001</v>
      </c>
      <c r="V2" s="13">
        <v>2549.9609999999998</v>
      </c>
      <c r="W2" s="12">
        <v>2696.44</v>
      </c>
      <c r="X2" s="13">
        <v>2566.576</v>
      </c>
      <c r="Y2" s="13">
        <v>2595.527</v>
      </c>
      <c r="Z2" s="13">
        <v>2617.5230000000001</v>
      </c>
      <c r="AA2" s="13">
        <v>2719.6410000000001</v>
      </c>
      <c r="AB2" s="13">
        <v>2655.4589999999998</v>
      </c>
      <c r="AC2" s="13">
        <v>2757.5160000000001</v>
      </c>
      <c r="AD2" s="13">
        <v>2736.1439999999998</v>
      </c>
      <c r="AE2" s="13">
        <v>2678.806</v>
      </c>
      <c r="AF2" s="12">
        <v>2646.35</v>
      </c>
      <c r="AG2" s="12">
        <v>2823.82</v>
      </c>
      <c r="AH2" s="13">
        <v>2703.5320000000002</v>
      </c>
      <c r="AI2" s="13">
        <v>2540.2660000000001</v>
      </c>
      <c r="AJ2" s="13">
        <v>2594.8150000000001</v>
      </c>
      <c r="AK2" s="14" t="s">
        <v>2</v>
      </c>
    </row>
    <row r="3" spans="1:37" x14ac:dyDescent="0.35">
      <c r="A3" s="11" t="s">
        <v>38</v>
      </c>
      <c r="B3" s="15">
        <v>15927.153</v>
      </c>
      <c r="C3" s="15">
        <v>13463.688</v>
      </c>
      <c r="D3" s="15">
        <v>14643.152</v>
      </c>
      <c r="E3" s="15">
        <v>13528.518</v>
      </c>
      <c r="F3" s="15">
        <v>11584.194</v>
      </c>
      <c r="G3" s="15">
        <v>11442.857</v>
      </c>
      <c r="H3" s="15">
        <v>11228.686</v>
      </c>
      <c r="I3" s="15">
        <v>11086.553</v>
      </c>
      <c r="J3" s="15">
        <v>10225.206</v>
      </c>
      <c r="K3" s="15">
        <v>8573.6059999999998</v>
      </c>
      <c r="L3" s="15">
        <v>9195.5030000000006</v>
      </c>
      <c r="M3" s="15">
        <v>8912.4459999999999</v>
      </c>
      <c r="N3" s="15">
        <v>8622.7819999999992</v>
      </c>
      <c r="O3" s="15">
        <v>8509.4120000000003</v>
      </c>
      <c r="P3" s="15">
        <v>8796.7810000000009</v>
      </c>
      <c r="Q3" s="15">
        <v>8685.3690000000006</v>
      </c>
      <c r="R3" s="15">
        <v>8627.3209999999999</v>
      </c>
      <c r="S3" s="15">
        <v>8303.8979999999992</v>
      </c>
      <c r="T3" s="15">
        <v>7946.5230000000001</v>
      </c>
      <c r="U3" s="15">
        <v>7355.3630000000003</v>
      </c>
      <c r="V3" s="15">
        <v>6888.6980000000003</v>
      </c>
      <c r="W3" s="15">
        <v>6771.9880000000003</v>
      </c>
      <c r="X3" s="15">
        <v>6726.299</v>
      </c>
      <c r="Y3" s="15">
        <v>6426.7439999999997</v>
      </c>
      <c r="Z3" s="15">
        <v>6331.7550000000001</v>
      </c>
      <c r="AA3" s="16">
        <v>6477.94</v>
      </c>
      <c r="AB3" s="16">
        <v>6412.09</v>
      </c>
      <c r="AC3" s="15">
        <v>6734.1210000000001</v>
      </c>
      <c r="AD3" s="15">
        <v>6699.1059999999998</v>
      </c>
      <c r="AE3" s="15">
        <v>6618.6189999999997</v>
      </c>
      <c r="AF3" s="15">
        <v>6567.0690000000004</v>
      </c>
      <c r="AG3" s="15">
        <v>7013.2709999999997</v>
      </c>
      <c r="AH3" s="15">
        <v>6564.625</v>
      </c>
      <c r="AI3" s="15">
        <v>5966.3329999999996</v>
      </c>
      <c r="AJ3" s="16">
        <v>5671.87</v>
      </c>
      <c r="AK3" s="17" t="s">
        <v>2</v>
      </c>
    </row>
    <row r="4" spans="1:37" x14ac:dyDescent="0.35">
      <c r="A4" s="11" t="s">
        <v>39</v>
      </c>
      <c r="B4" s="13">
        <v>2356.6669999999999</v>
      </c>
      <c r="C4" s="13">
        <v>2434.9630000000002</v>
      </c>
      <c r="D4" s="13">
        <v>1399.1130000000001</v>
      </c>
      <c r="E4" s="13">
        <v>1265.3689999999999</v>
      </c>
      <c r="F4" s="13">
        <v>1041.4839999999999</v>
      </c>
      <c r="G4" s="13">
        <v>755.20799999999997</v>
      </c>
      <c r="H4" s="13">
        <v>857.226</v>
      </c>
      <c r="I4" s="13">
        <v>777.58100000000002</v>
      </c>
      <c r="J4" s="13">
        <v>684.07399999999996</v>
      </c>
      <c r="K4" s="13">
        <v>568.58299999999997</v>
      </c>
      <c r="L4" s="13">
        <v>579.49300000000005</v>
      </c>
      <c r="M4" s="13">
        <v>642.94500000000005</v>
      </c>
      <c r="N4" s="13">
        <v>584.173</v>
      </c>
      <c r="O4" s="12">
        <v>664.09</v>
      </c>
      <c r="P4" s="13">
        <v>681.83299999999997</v>
      </c>
      <c r="Q4" s="13">
        <v>710.31399999999996</v>
      </c>
      <c r="R4" s="12">
        <v>684.66</v>
      </c>
      <c r="S4" s="13">
        <v>755.28599999999994</v>
      </c>
      <c r="T4" s="13">
        <v>732.029</v>
      </c>
      <c r="U4" s="13">
        <v>529.85400000000004</v>
      </c>
      <c r="V4" s="13">
        <v>577.67100000000005</v>
      </c>
      <c r="W4" s="13">
        <v>586.04499999999996</v>
      </c>
      <c r="X4" s="13">
        <v>564.24699999999996</v>
      </c>
      <c r="Y4" s="13">
        <v>639.59699999999998</v>
      </c>
      <c r="Z4" s="13">
        <v>555.81899999999996</v>
      </c>
      <c r="AA4" s="13">
        <v>535.03300000000002</v>
      </c>
      <c r="AB4" s="13">
        <v>457.75700000000001</v>
      </c>
      <c r="AC4" s="13">
        <v>462.92599999999999</v>
      </c>
      <c r="AD4" s="13">
        <v>485.92099999999999</v>
      </c>
      <c r="AE4" s="13">
        <v>459.30700000000002</v>
      </c>
      <c r="AF4" s="13">
        <v>408.03699999999998</v>
      </c>
      <c r="AG4" s="13">
        <v>383.584</v>
      </c>
      <c r="AH4" s="12">
        <v>358.4</v>
      </c>
      <c r="AI4" s="13">
        <v>337.166</v>
      </c>
      <c r="AJ4" s="13">
        <v>462.56200000000001</v>
      </c>
      <c r="AK4" s="14" t="s">
        <v>2</v>
      </c>
    </row>
    <row r="5" spans="1:37" x14ac:dyDescent="0.35">
      <c r="A5" s="11" t="s">
        <v>40</v>
      </c>
      <c r="B5" s="15">
        <v>2190.058</v>
      </c>
      <c r="C5" s="16">
        <v>1660.83</v>
      </c>
      <c r="D5" s="15">
        <v>1333.1980000000001</v>
      </c>
      <c r="E5" s="15">
        <v>1269.4349999999999</v>
      </c>
      <c r="F5" s="15">
        <v>1318.5440000000001</v>
      </c>
      <c r="G5" s="15">
        <v>1203.635</v>
      </c>
      <c r="H5" s="15">
        <v>1282.9349999999999</v>
      </c>
      <c r="I5" s="15">
        <v>1415.585</v>
      </c>
      <c r="J5" s="16">
        <v>1405.95</v>
      </c>
      <c r="K5" s="15">
        <v>1347.242</v>
      </c>
      <c r="L5" s="15">
        <v>1335.338</v>
      </c>
      <c r="M5" s="15">
        <v>1400.6759999999999</v>
      </c>
      <c r="N5" s="15">
        <v>1353.0519999999999</v>
      </c>
      <c r="O5" s="15">
        <v>1403.6849999999999</v>
      </c>
      <c r="P5" s="15">
        <v>1523.5820000000001</v>
      </c>
      <c r="Q5" s="15">
        <v>1535.9970000000001</v>
      </c>
      <c r="R5" s="15">
        <v>1600.307</v>
      </c>
      <c r="S5" s="15">
        <v>1623.3320000000001</v>
      </c>
      <c r="T5" s="15">
        <v>1628.4749999999999</v>
      </c>
      <c r="U5" s="15">
        <v>1371.2850000000001</v>
      </c>
      <c r="V5" s="15">
        <v>1329.126</v>
      </c>
      <c r="W5" s="15">
        <v>1246.1110000000001</v>
      </c>
      <c r="X5" s="15">
        <v>1099.202</v>
      </c>
      <c r="Y5" s="15">
        <v>1075.1410000000001</v>
      </c>
      <c r="Z5" s="15">
        <v>1066.433</v>
      </c>
      <c r="AA5" s="15">
        <v>1056.1410000000001</v>
      </c>
      <c r="AB5" s="15">
        <v>1057.4269999999999</v>
      </c>
      <c r="AC5" s="15">
        <v>1148.1179999999999</v>
      </c>
      <c r="AD5" s="15">
        <v>1161.8530000000001</v>
      </c>
      <c r="AE5" s="15">
        <v>1172.434</v>
      </c>
      <c r="AF5" s="15">
        <v>1171.2719999999999</v>
      </c>
      <c r="AG5" s="15">
        <v>1191.3589999999999</v>
      </c>
      <c r="AH5" s="15">
        <v>1128.479</v>
      </c>
      <c r="AI5" s="15">
        <v>1173.8879999999999</v>
      </c>
      <c r="AJ5" s="15">
        <v>1140.414</v>
      </c>
      <c r="AK5" s="17" t="s">
        <v>2</v>
      </c>
    </row>
    <row r="6" spans="1:37" x14ac:dyDescent="0.35">
      <c r="A6" s="11" t="s">
        <v>41</v>
      </c>
      <c r="B6" s="13">
        <v>1984.9079999999999</v>
      </c>
      <c r="C6" s="13">
        <v>1740.7070000000001</v>
      </c>
      <c r="D6" s="13">
        <v>1325.057</v>
      </c>
      <c r="E6" s="13">
        <v>882.54300000000001</v>
      </c>
      <c r="F6" s="13">
        <v>700.44500000000005</v>
      </c>
      <c r="G6" s="13">
        <v>701.11099999999999</v>
      </c>
      <c r="H6" s="13">
        <v>668.20600000000002</v>
      </c>
      <c r="I6" s="13">
        <v>736.00099999999998</v>
      </c>
      <c r="J6" s="13">
        <v>711.71500000000003</v>
      </c>
      <c r="K6" s="13">
        <v>639.92499999999995</v>
      </c>
      <c r="L6" s="13">
        <v>576.54499999999996</v>
      </c>
      <c r="M6" s="13">
        <v>612.78499999999997</v>
      </c>
      <c r="N6" s="13">
        <v>621.91700000000003</v>
      </c>
      <c r="O6" s="13">
        <v>626.38199999999995</v>
      </c>
      <c r="P6" s="13">
        <v>667.15700000000004</v>
      </c>
      <c r="Q6" s="13">
        <v>698.62699999999995</v>
      </c>
      <c r="R6" s="13">
        <v>741.13099999999997</v>
      </c>
      <c r="S6" s="13">
        <v>722.77499999999998</v>
      </c>
      <c r="T6" s="13">
        <v>679.17600000000004</v>
      </c>
      <c r="U6" s="13">
        <v>651.71500000000003</v>
      </c>
      <c r="V6" s="13">
        <v>773.84699999999998</v>
      </c>
      <c r="W6" s="13">
        <v>747.755</v>
      </c>
      <c r="X6" s="13">
        <v>827.43600000000004</v>
      </c>
      <c r="Y6" s="13">
        <v>767.64300000000003</v>
      </c>
      <c r="Z6" s="13">
        <v>791.15800000000002</v>
      </c>
      <c r="AA6" s="12">
        <v>787.78</v>
      </c>
      <c r="AB6" s="13">
        <v>748.95399999999995</v>
      </c>
      <c r="AC6" s="13">
        <v>793.30700000000002</v>
      </c>
      <c r="AD6" s="13">
        <v>897.84500000000003</v>
      </c>
      <c r="AE6" s="13">
        <v>852.71400000000006</v>
      </c>
      <c r="AF6" s="13">
        <v>870.88199999999995</v>
      </c>
      <c r="AG6" s="13">
        <v>894.11900000000003</v>
      </c>
      <c r="AH6" s="13">
        <v>907.17499999999995</v>
      </c>
      <c r="AI6" s="12">
        <v>921.39</v>
      </c>
      <c r="AJ6" s="13">
        <v>775.245</v>
      </c>
      <c r="AK6" s="14" t="s">
        <v>2</v>
      </c>
    </row>
    <row r="7" spans="1:37" x14ac:dyDescent="0.35">
      <c r="A7" s="11" t="s">
        <v>42</v>
      </c>
      <c r="B7" s="15">
        <v>3326.6309999999999</v>
      </c>
      <c r="C7" s="15">
        <v>3326.1790000000001</v>
      </c>
      <c r="D7" s="15">
        <v>1881.557</v>
      </c>
      <c r="E7" s="15">
        <v>1107.3620000000001</v>
      </c>
      <c r="F7" s="15">
        <v>1104.732</v>
      </c>
      <c r="G7" s="15">
        <v>1018.067</v>
      </c>
      <c r="H7" s="15">
        <v>975.66899999999998</v>
      </c>
      <c r="I7" s="15">
        <v>999.02599999999995</v>
      </c>
      <c r="J7" s="15">
        <v>1002.313</v>
      </c>
      <c r="K7" s="16">
        <v>830.02</v>
      </c>
      <c r="L7" s="15">
        <v>780.15599999999995</v>
      </c>
      <c r="M7" s="15">
        <v>772.34199999999998</v>
      </c>
      <c r="N7" s="15">
        <v>859.04700000000003</v>
      </c>
      <c r="O7" s="15">
        <v>904.89200000000005</v>
      </c>
      <c r="P7" s="15">
        <v>931.50400000000002</v>
      </c>
      <c r="Q7" s="15">
        <v>1057.5909999999999</v>
      </c>
      <c r="R7" s="15">
        <v>1088.0409999999999</v>
      </c>
      <c r="S7" s="15">
        <v>1116.5360000000001</v>
      </c>
      <c r="T7" s="15">
        <v>1010.085</v>
      </c>
      <c r="U7" s="15">
        <v>872.14099999999996</v>
      </c>
      <c r="V7" s="15">
        <v>949.62900000000002</v>
      </c>
      <c r="W7" s="15">
        <v>1013.346</v>
      </c>
      <c r="X7" s="15">
        <v>1071.759</v>
      </c>
      <c r="Y7" s="15">
        <v>1037.327</v>
      </c>
      <c r="Z7" s="15">
        <v>1033.722</v>
      </c>
      <c r="AA7" s="15">
        <v>982.755</v>
      </c>
      <c r="AB7" s="15">
        <v>988.96900000000005</v>
      </c>
      <c r="AC7" s="15">
        <v>1070.9269999999999</v>
      </c>
      <c r="AD7" s="15">
        <v>1106.588</v>
      </c>
      <c r="AE7" s="15">
        <v>1113.7629999999999</v>
      </c>
      <c r="AF7" s="16">
        <v>1024.3399999999999</v>
      </c>
      <c r="AG7" s="15">
        <v>1109.164</v>
      </c>
      <c r="AH7" s="15">
        <v>953.87199999999996</v>
      </c>
      <c r="AI7" s="16">
        <v>898.67</v>
      </c>
      <c r="AJ7" s="15">
        <v>979.78899999999999</v>
      </c>
      <c r="AK7" s="17" t="s">
        <v>2</v>
      </c>
    </row>
    <row r="8" spans="1:37" x14ac:dyDescent="0.35">
      <c r="A8" s="11" t="s">
        <v>43</v>
      </c>
      <c r="B8" s="12">
        <v>6021.92</v>
      </c>
      <c r="C8" s="13">
        <v>5063.9269999999997</v>
      </c>
      <c r="D8" s="13">
        <v>4068.4079999999999</v>
      </c>
      <c r="E8" s="13">
        <v>3818.268</v>
      </c>
      <c r="F8" s="13">
        <v>3505.723</v>
      </c>
      <c r="G8" s="13">
        <v>3469.643</v>
      </c>
      <c r="H8" s="13">
        <v>3650.6680000000001</v>
      </c>
      <c r="I8" s="13">
        <v>3506.2550000000001</v>
      </c>
      <c r="J8" s="13">
        <v>3435.181</v>
      </c>
      <c r="K8" s="13">
        <v>3316.4050000000002</v>
      </c>
      <c r="L8" s="13">
        <v>3258.9630000000002</v>
      </c>
      <c r="M8" s="13">
        <v>3394.4470000000001</v>
      </c>
      <c r="N8" s="13">
        <v>3459.3629999999998</v>
      </c>
      <c r="O8" s="13">
        <v>3374.8249999999998</v>
      </c>
      <c r="P8" s="13">
        <v>3081.6950000000002</v>
      </c>
      <c r="Q8" s="13">
        <v>3097.9520000000002</v>
      </c>
      <c r="R8" s="13">
        <v>3117.723</v>
      </c>
      <c r="S8" s="13">
        <v>3073.7249999999999</v>
      </c>
      <c r="T8" s="12">
        <v>3081.38</v>
      </c>
      <c r="U8" s="12">
        <v>2424.5700000000002</v>
      </c>
      <c r="V8" s="13">
        <v>2604.7910000000002</v>
      </c>
      <c r="W8" s="13">
        <v>2998.1489999999999</v>
      </c>
      <c r="X8" s="13">
        <v>3182.3919999999998</v>
      </c>
      <c r="Y8" s="13">
        <v>3725.701</v>
      </c>
      <c r="Z8" s="13">
        <v>3705.0250000000001</v>
      </c>
      <c r="AA8" s="13">
        <v>3867.221</v>
      </c>
      <c r="AB8" s="13">
        <v>3988.299</v>
      </c>
      <c r="AC8" s="13">
        <v>4282.7740000000003</v>
      </c>
      <c r="AD8" s="13">
        <v>4453.8779999999997</v>
      </c>
      <c r="AE8" s="13">
        <v>4459.6170000000002</v>
      </c>
      <c r="AF8" s="13">
        <v>4421.598</v>
      </c>
      <c r="AG8" s="13">
        <v>4729.2860000000001</v>
      </c>
      <c r="AH8" s="13">
        <v>4303.259</v>
      </c>
      <c r="AI8" s="13">
        <v>3998.4630000000002</v>
      </c>
      <c r="AJ8" s="13">
        <v>4231.7860000000001</v>
      </c>
      <c r="AK8" s="14" t="s">
        <v>2</v>
      </c>
    </row>
    <row r="9" spans="1:37" x14ac:dyDescent="0.35">
      <c r="A9" s="11" t="s">
        <v>44</v>
      </c>
      <c r="B9" s="15">
        <v>23014.973999999998</v>
      </c>
      <c r="C9" s="15">
        <v>21143.016</v>
      </c>
      <c r="D9" s="15">
        <v>19332.062999999998</v>
      </c>
      <c r="E9" s="15">
        <v>20236.757000000001</v>
      </c>
      <c r="F9" s="15">
        <v>19577.210999999999</v>
      </c>
      <c r="G9" s="16">
        <v>21351.34</v>
      </c>
      <c r="H9" s="15">
        <v>23019.576000000001</v>
      </c>
      <c r="I9" s="15">
        <v>22424.648000000001</v>
      </c>
      <c r="J9" s="15">
        <v>19606.054</v>
      </c>
      <c r="K9" s="15">
        <v>17095.704000000002</v>
      </c>
      <c r="L9" s="15">
        <v>17103.896000000001</v>
      </c>
      <c r="M9" s="15">
        <v>15789.623</v>
      </c>
      <c r="N9" s="15">
        <v>15301.695</v>
      </c>
      <c r="O9" s="15">
        <v>15829.903</v>
      </c>
      <c r="P9" s="15">
        <v>15509.621999999999</v>
      </c>
      <c r="Q9" s="15">
        <v>14617.708000000001</v>
      </c>
      <c r="R9" s="15">
        <v>14653.888000000001</v>
      </c>
      <c r="S9" s="15">
        <v>15249.796</v>
      </c>
      <c r="T9" s="15">
        <v>13982.544</v>
      </c>
      <c r="U9" s="15">
        <v>12823.317999999999</v>
      </c>
      <c r="V9" s="15">
        <v>13499.375</v>
      </c>
      <c r="W9" s="16">
        <v>13961.33</v>
      </c>
      <c r="X9" s="15">
        <v>13733.353999999999</v>
      </c>
      <c r="Y9" s="16">
        <v>14210.67</v>
      </c>
      <c r="Z9" s="15">
        <v>14153.187</v>
      </c>
      <c r="AA9" s="15">
        <v>14095.754000000001</v>
      </c>
      <c r="AB9" s="15">
        <v>14652.306</v>
      </c>
      <c r="AC9" s="15">
        <v>15820.047</v>
      </c>
      <c r="AD9" s="15">
        <v>16327.934999999999</v>
      </c>
      <c r="AE9" s="15">
        <v>16492.204000000002</v>
      </c>
      <c r="AF9" s="15">
        <v>15921.165000000001</v>
      </c>
      <c r="AG9" s="15">
        <v>16274.111999999999</v>
      </c>
      <c r="AH9" s="15">
        <v>15074.146000000001</v>
      </c>
      <c r="AI9" s="15">
        <v>13723.846</v>
      </c>
      <c r="AJ9" s="15">
        <v>14534.874</v>
      </c>
      <c r="AK9" s="17" t="s">
        <v>2</v>
      </c>
    </row>
    <row r="10" spans="1:37" x14ac:dyDescent="0.35">
      <c r="A10" s="11" t="s">
        <v>45</v>
      </c>
      <c r="B10" s="13">
        <v>24368.603999999999</v>
      </c>
      <c r="C10" s="13">
        <v>20160.118999999999</v>
      </c>
      <c r="D10" s="13">
        <v>13182.550999999999</v>
      </c>
      <c r="E10" s="13">
        <v>12099.050999999999</v>
      </c>
      <c r="F10" s="13">
        <v>13080.210999999999</v>
      </c>
      <c r="G10" s="13">
        <v>13996.058000000001</v>
      </c>
      <c r="H10" s="13">
        <v>13808.406000000001</v>
      </c>
      <c r="I10" s="13">
        <v>11790.324000000001</v>
      </c>
      <c r="J10" s="13">
        <v>9718.9040000000005</v>
      </c>
      <c r="K10" s="13">
        <v>8242.1560000000009</v>
      </c>
      <c r="L10" s="13">
        <v>8601.7510000000002</v>
      </c>
      <c r="M10" s="13">
        <v>9060.6650000000009</v>
      </c>
      <c r="N10" s="13">
        <v>9665.0319999999992</v>
      </c>
      <c r="O10" s="13">
        <v>9345.8340000000007</v>
      </c>
      <c r="P10" s="13">
        <v>9250.7569999999996</v>
      </c>
      <c r="Q10" s="13">
        <v>8997.6509999999998</v>
      </c>
      <c r="R10" s="13">
        <v>8653.8019999999997</v>
      </c>
      <c r="S10" s="13">
        <v>8336.5709999999999</v>
      </c>
      <c r="T10" s="13">
        <v>8318.6810000000005</v>
      </c>
      <c r="U10" s="13">
        <v>6144.6260000000002</v>
      </c>
      <c r="V10" s="13">
        <v>6484.1949999999997</v>
      </c>
      <c r="W10" s="13">
        <v>7059.692</v>
      </c>
      <c r="X10" s="13">
        <v>6748.2550000000001</v>
      </c>
      <c r="Y10" s="13">
        <v>6272.8450000000003</v>
      </c>
      <c r="Z10" s="13">
        <v>6427.4250000000002</v>
      </c>
      <c r="AA10" s="13">
        <v>6418.8980000000001</v>
      </c>
      <c r="AB10" s="13">
        <v>6263.7960000000003</v>
      </c>
      <c r="AC10" s="13">
        <v>6437.7290000000003</v>
      </c>
      <c r="AD10" s="13">
        <v>6612.433</v>
      </c>
      <c r="AE10" s="13">
        <v>6661.0630000000001</v>
      </c>
      <c r="AF10" s="13">
        <v>6437.0309999999999</v>
      </c>
      <c r="AG10" s="13">
        <v>6856.3429999999998</v>
      </c>
      <c r="AH10" s="13">
        <v>5739.7460000000001</v>
      </c>
      <c r="AI10" s="12">
        <v>4958</v>
      </c>
      <c r="AJ10" s="13">
        <v>5042.183</v>
      </c>
      <c r="AK10" s="14" t="s">
        <v>2</v>
      </c>
    </row>
    <row r="11" spans="1:37" x14ac:dyDescent="0.35">
      <c r="A11" s="11" t="s">
        <v>46</v>
      </c>
      <c r="B11" s="15">
        <v>1528.3879999999999</v>
      </c>
      <c r="C11" s="15">
        <v>1359.6510000000001</v>
      </c>
      <c r="D11" s="15">
        <v>1146.482</v>
      </c>
      <c r="E11" s="15">
        <v>1110.829</v>
      </c>
      <c r="F11" s="15">
        <v>1225.9480000000001</v>
      </c>
      <c r="G11" s="15">
        <v>1180.5050000000001</v>
      </c>
      <c r="H11" s="15">
        <v>1189.6420000000001</v>
      </c>
      <c r="I11" s="15">
        <v>1224.451</v>
      </c>
      <c r="J11" s="15">
        <v>1204.944</v>
      </c>
      <c r="K11" s="15">
        <v>1209.8720000000001</v>
      </c>
      <c r="L11" s="16">
        <v>1426.9</v>
      </c>
      <c r="M11" s="15">
        <v>1338.3589999999999</v>
      </c>
      <c r="N11" s="15">
        <v>1265.251</v>
      </c>
      <c r="O11" s="15">
        <v>1501.972</v>
      </c>
      <c r="P11" s="15">
        <v>1536.489</v>
      </c>
      <c r="Q11" s="15">
        <v>1645.8720000000001</v>
      </c>
      <c r="R11" s="15">
        <v>1701.2719999999999</v>
      </c>
      <c r="S11" s="15">
        <v>1607.556</v>
      </c>
      <c r="T11" s="15">
        <v>1485.338</v>
      </c>
      <c r="U11" s="15">
        <v>1221.1079999999999</v>
      </c>
      <c r="V11" s="15">
        <v>1274.056</v>
      </c>
      <c r="W11" s="15">
        <v>1236.8920000000001</v>
      </c>
      <c r="X11" s="15">
        <v>1207.414</v>
      </c>
      <c r="Y11" s="15">
        <v>1197.6510000000001</v>
      </c>
      <c r="Z11" s="15">
        <v>1231.213</v>
      </c>
      <c r="AA11" s="15">
        <v>1228.021</v>
      </c>
      <c r="AB11" s="15">
        <v>1242.337</v>
      </c>
      <c r="AC11" s="15">
        <v>1295.6120000000001</v>
      </c>
      <c r="AD11" s="15">
        <v>1319.1759999999999</v>
      </c>
      <c r="AE11" s="16">
        <v>1322.08</v>
      </c>
      <c r="AF11" s="15">
        <v>1256.4079999999999</v>
      </c>
      <c r="AG11" s="15">
        <v>1294.2629999999999</v>
      </c>
      <c r="AH11" s="15">
        <v>1181.1379999999999</v>
      </c>
      <c r="AI11" s="15">
        <v>1073.3409999999999</v>
      </c>
      <c r="AJ11" s="15">
        <v>1081.758</v>
      </c>
      <c r="AK11" s="17" t="s">
        <v>2</v>
      </c>
    </row>
    <row r="12" spans="1:37" x14ac:dyDescent="0.35">
      <c r="A12" s="11" t="s">
        <v>47</v>
      </c>
      <c r="B12" s="13">
        <v>5776.7470000000003</v>
      </c>
      <c r="C12" s="13">
        <v>4978.9120000000003</v>
      </c>
      <c r="D12" s="13">
        <v>4815.0529999999999</v>
      </c>
      <c r="E12" s="13">
        <v>3874.8510000000001</v>
      </c>
      <c r="F12" s="13">
        <v>4096.9350000000004</v>
      </c>
      <c r="G12" s="13">
        <v>3631.011</v>
      </c>
      <c r="H12" s="13">
        <v>3863.5160000000001</v>
      </c>
      <c r="I12" s="13">
        <v>3783.953</v>
      </c>
      <c r="J12" s="13">
        <v>3481.511</v>
      </c>
      <c r="K12" s="13">
        <v>3334.3429999999998</v>
      </c>
      <c r="L12" s="13">
        <v>3503.0419999999999</v>
      </c>
      <c r="M12" s="13">
        <v>3503.4940000000001</v>
      </c>
      <c r="N12" s="13">
        <v>3626.1019999999999</v>
      </c>
      <c r="O12" s="13">
        <v>3663.3989999999999</v>
      </c>
      <c r="P12" s="13">
        <v>3446.6060000000002</v>
      </c>
      <c r="Q12" s="13">
        <v>3590.7959999999998</v>
      </c>
      <c r="R12" s="13">
        <v>3565.9940000000001</v>
      </c>
      <c r="S12" s="13">
        <v>3662.817</v>
      </c>
      <c r="T12" s="13">
        <v>3651.5720000000001</v>
      </c>
      <c r="U12" s="13">
        <v>3118.5430000000001</v>
      </c>
      <c r="V12" s="13">
        <v>3224.0859999999998</v>
      </c>
      <c r="W12" s="13">
        <v>3255.3310000000001</v>
      </c>
      <c r="X12" s="13">
        <v>3233.817</v>
      </c>
      <c r="Y12" s="13">
        <v>3114.817</v>
      </c>
      <c r="Z12" s="13">
        <v>3241.6280000000002</v>
      </c>
      <c r="AA12" s="13">
        <v>3333.3710000000001</v>
      </c>
      <c r="AB12" s="13">
        <v>3308.576</v>
      </c>
      <c r="AC12" s="13">
        <v>3452.442</v>
      </c>
      <c r="AD12" s="13">
        <v>3662.5390000000002</v>
      </c>
      <c r="AE12" s="12">
        <v>3463.68</v>
      </c>
      <c r="AF12" s="13">
        <v>3138.1770000000001</v>
      </c>
      <c r="AG12" s="13">
        <v>3382.3919999999998</v>
      </c>
      <c r="AH12" s="13">
        <v>3167.9589999999998</v>
      </c>
      <c r="AI12" s="13">
        <v>2869.4789999999998</v>
      </c>
      <c r="AJ12" s="13">
        <v>2875.0360000000001</v>
      </c>
      <c r="AK12" s="14" t="s">
        <v>2</v>
      </c>
    </row>
  </sheetData>
  <mergeCells count="1">
    <mergeCell ref="AJ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2"/>
  <sheetViews>
    <sheetView workbookViewId="0">
      <pane xSplit="1" ySplit="1" topLeftCell="B2" activePane="bottomRight" state="frozen"/>
      <selection pane="topRight"/>
      <selection pane="bottomLeft"/>
      <selection pane="bottomRight" activeCell="G19" sqref="G19"/>
    </sheetView>
  </sheetViews>
  <sheetFormatPr defaultRowHeight="11.4" customHeight="1" x14ac:dyDescent="0.35"/>
  <cols>
    <col min="1" max="1" width="11.90625" style="10" customWidth="1"/>
    <col min="2" max="36" width="10" style="10" customWidth="1"/>
    <col min="37" max="37" width="5" style="10" customWidth="1"/>
    <col min="38" max="16384" width="8.7265625" style="10"/>
  </cols>
  <sheetData>
    <row r="1" spans="1:37" x14ac:dyDescent="0.35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18" t="s">
        <v>36</v>
      </c>
      <c r="AK1" s="18" t="s">
        <v>2</v>
      </c>
    </row>
    <row r="2" spans="1:37" x14ac:dyDescent="0.35">
      <c r="A2" s="11" t="s">
        <v>37</v>
      </c>
      <c r="B2" s="13">
        <v>2302.0709999999999</v>
      </c>
      <c r="C2" s="13">
        <v>1275.702</v>
      </c>
      <c r="D2" s="13">
        <v>1381.153</v>
      </c>
      <c r="E2" s="13">
        <v>1527.654</v>
      </c>
      <c r="F2" s="13">
        <v>1398.673</v>
      </c>
      <c r="G2" s="13">
        <v>1502.778</v>
      </c>
      <c r="H2" s="12">
        <v>1478.18</v>
      </c>
      <c r="I2" s="13">
        <v>1502.0730000000001</v>
      </c>
      <c r="J2" s="12">
        <v>1897.21</v>
      </c>
      <c r="K2" s="13">
        <v>1978.394</v>
      </c>
      <c r="L2" s="12">
        <v>1931.53</v>
      </c>
      <c r="M2" s="13">
        <v>1986.768</v>
      </c>
      <c r="N2" s="13">
        <v>2068.8719999999998</v>
      </c>
      <c r="O2" s="13">
        <v>2248.317</v>
      </c>
      <c r="P2" s="13">
        <v>2421.9859999999999</v>
      </c>
      <c r="Q2" s="12">
        <v>2717.28</v>
      </c>
      <c r="R2" s="13">
        <v>2855.7930000000001</v>
      </c>
      <c r="S2" s="13">
        <v>2767.0610000000001</v>
      </c>
      <c r="T2" s="12">
        <v>2884.27</v>
      </c>
      <c r="U2" s="13">
        <v>2761.5010000000002</v>
      </c>
      <c r="V2" s="13">
        <v>2694.7530000000002</v>
      </c>
      <c r="W2" s="13">
        <v>2759.922</v>
      </c>
      <c r="X2" s="12">
        <v>2914.39</v>
      </c>
      <c r="Y2" s="13">
        <v>2620.3409999999999</v>
      </c>
      <c r="Z2" s="13">
        <v>2916.4870000000001</v>
      </c>
      <c r="AA2" s="13">
        <v>3211.585</v>
      </c>
      <c r="AB2" s="13">
        <v>3268.0770000000002</v>
      </c>
      <c r="AC2" s="13">
        <v>3324.915</v>
      </c>
      <c r="AD2" s="13">
        <v>3374.7359999999999</v>
      </c>
      <c r="AE2" s="13">
        <v>3413.5459999999998</v>
      </c>
      <c r="AF2" s="13">
        <v>3209.7579999999998</v>
      </c>
      <c r="AG2" s="13">
        <v>3434.5830000000001</v>
      </c>
      <c r="AH2" s="13">
        <v>3468.0819999999999</v>
      </c>
      <c r="AI2" s="13">
        <v>3527.768</v>
      </c>
      <c r="AJ2" s="13">
        <v>3748.692</v>
      </c>
      <c r="AK2" s="14" t="s">
        <v>2</v>
      </c>
    </row>
    <row r="3" spans="1:37" x14ac:dyDescent="0.35">
      <c r="A3" s="11" t="s">
        <v>38</v>
      </c>
      <c r="B3" s="15">
        <v>2570.047</v>
      </c>
      <c r="C3" s="15">
        <v>2247.069</v>
      </c>
      <c r="D3" s="15">
        <v>2878.9369999999999</v>
      </c>
      <c r="E3" s="15">
        <v>2883.4380000000001</v>
      </c>
      <c r="F3" s="15">
        <v>3062.384</v>
      </c>
      <c r="G3" s="15">
        <v>2646.9650000000001</v>
      </c>
      <c r="H3" s="15">
        <v>3588.9229999999998</v>
      </c>
      <c r="I3" s="15">
        <v>3692.7139999999999</v>
      </c>
      <c r="J3" s="15">
        <v>3785.498</v>
      </c>
      <c r="K3" s="15">
        <v>4144.6459999999997</v>
      </c>
      <c r="L3" s="15">
        <v>4206.9279999999999</v>
      </c>
      <c r="M3" s="15">
        <v>4417.0169999999998</v>
      </c>
      <c r="N3" s="15">
        <v>4613.8339999999998</v>
      </c>
      <c r="O3" s="15">
        <v>5209.1840000000002</v>
      </c>
      <c r="P3" s="15">
        <v>5371.4179999999997</v>
      </c>
      <c r="Q3" s="15">
        <v>5747.4530000000004</v>
      </c>
      <c r="R3" s="16">
        <v>5963.29</v>
      </c>
      <c r="S3" s="15">
        <v>6290.5039999999999</v>
      </c>
      <c r="T3" s="15">
        <v>6325.0309999999999</v>
      </c>
      <c r="U3" s="15">
        <v>6220.8389999999999</v>
      </c>
      <c r="V3" s="16">
        <v>5916.11</v>
      </c>
      <c r="W3" s="15">
        <v>5935.5919999999996</v>
      </c>
      <c r="X3" s="15">
        <v>5788.8890000000001</v>
      </c>
      <c r="Y3" s="15">
        <v>5738.6809999999996</v>
      </c>
      <c r="Z3" s="15">
        <v>5948.768</v>
      </c>
      <c r="AA3" s="16">
        <v>6195.22</v>
      </c>
      <c r="AB3" s="15">
        <v>6417.0929999999998</v>
      </c>
      <c r="AC3" s="15">
        <v>6617.2640000000001</v>
      </c>
      <c r="AD3" s="15">
        <v>6659.8909999999996</v>
      </c>
      <c r="AE3" s="15">
        <v>6778.7780000000002</v>
      </c>
      <c r="AF3" s="15">
        <v>6377.5010000000002</v>
      </c>
      <c r="AG3" s="15">
        <v>6749.2520000000004</v>
      </c>
      <c r="AH3" s="15">
        <v>6888.9290000000001</v>
      </c>
      <c r="AI3" s="15">
        <v>7027.8149999999996</v>
      </c>
      <c r="AJ3" s="16">
        <v>7313.13</v>
      </c>
      <c r="AK3" s="17" t="s">
        <v>2</v>
      </c>
    </row>
    <row r="4" spans="1:37" x14ac:dyDescent="0.35">
      <c r="A4" s="11" t="s">
        <v>39</v>
      </c>
      <c r="B4" s="12">
        <v>832.38</v>
      </c>
      <c r="C4" s="13">
        <v>756.25300000000004</v>
      </c>
      <c r="D4" s="13">
        <v>408.34899999999999</v>
      </c>
      <c r="E4" s="13">
        <v>434.262</v>
      </c>
      <c r="F4" s="13">
        <v>535.11199999999997</v>
      </c>
      <c r="G4" s="13">
        <v>525.28099999999995</v>
      </c>
      <c r="H4" s="12">
        <v>554.58000000000004</v>
      </c>
      <c r="I4" s="13">
        <v>581.96100000000001</v>
      </c>
      <c r="J4" s="13">
        <v>600.14300000000003</v>
      </c>
      <c r="K4" s="13">
        <v>558.35699999999997</v>
      </c>
      <c r="L4" s="12">
        <v>556.44000000000005</v>
      </c>
      <c r="M4" s="13">
        <v>662.048</v>
      </c>
      <c r="N4" s="13">
        <v>694.41099999999994</v>
      </c>
      <c r="O4" s="13">
        <v>671.88599999999997</v>
      </c>
      <c r="P4" s="13">
        <v>682.46400000000006</v>
      </c>
      <c r="Q4" s="13">
        <v>717.90599999999995</v>
      </c>
      <c r="R4" s="13">
        <v>767.85299999999995</v>
      </c>
      <c r="S4" s="13">
        <v>803.60299999999995</v>
      </c>
      <c r="T4" s="13">
        <v>777.76300000000003</v>
      </c>
      <c r="U4" s="12">
        <v>713.25</v>
      </c>
      <c r="V4" s="13">
        <v>754.60799999999995</v>
      </c>
      <c r="W4" s="13">
        <v>749.26199999999994</v>
      </c>
      <c r="X4" s="13">
        <v>757.81200000000001</v>
      </c>
      <c r="Y4" s="13">
        <v>739.19799999999998</v>
      </c>
      <c r="Z4" s="12">
        <v>741.51</v>
      </c>
      <c r="AA4" s="13">
        <v>760.00400000000002</v>
      </c>
      <c r="AB4" s="13">
        <v>776.89499999999998</v>
      </c>
      <c r="AC4" s="13">
        <v>803.86199999999997</v>
      </c>
      <c r="AD4" s="13">
        <v>834.79600000000005</v>
      </c>
      <c r="AE4" s="13">
        <v>839.84100000000001</v>
      </c>
      <c r="AF4" s="13">
        <v>795.62800000000004</v>
      </c>
      <c r="AG4" s="13">
        <v>840.24900000000002</v>
      </c>
      <c r="AH4" s="13">
        <v>845.74599999999998</v>
      </c>
      <c r="AI4" s="13">
        <v>845.79200000000003</v>
      </c>
      <c r="AJ4" s="13">
        <v>864.947</v>
      </c>
      <c r="AK4" s="14" t="s">
        <v>2</v>
      </c>
    </row>
    <row r="5" spans="1:37" x14ac:dyDescent="0.35">
      <c r="A5" s="11" t="s">
        <v>40</v>
      </c>
      <c r="B5" s="15">
        <v>1239.605</v>
      </c>
      <c r="C5" s="15">
        <v>992.33900000000006</v>
      </c>
      <c r="D5" s="15">
        <v>928.71900000000005</v>
      </c>
      <c r="E5" s="15">
        <v>968.91600000000005</v>
      </c>
      <c r="F5" s="15">
        <v>1031.896</v>
      </c>
      <c r="G5" s="15">
        <v>1095.9970000000001</v>
      </c>
      <c r="H5" s="15">
        <v>1224.5740000000001</v>
      </c>
      <c r="I5" s="15">
        <v>1295.4670000000001</v>
      </c>
      <c r="J5" s="15">
        <v>1349.721</v>
      </c>
      <c r="K5" s="15">
        <v>1445.3879999999999</v>
      </c>
      <c r="L5" s="15">
        <v>1477.566</v>
      </c>
      <c r="M5" s="15">
        <v>1492.788</v>
      </c>
      <c r="N5" s="15">
        <v>1593.8420000000001</v>
      </c>
      <c r="O5" s="15">
        <v>1722.9749999999999</v>
      </c>
      <c r="P5" s="15">
        <v>1766.1379999999999</v>
      </c>
      <c r="Q5" s="15">
        <v>1833.136</v>
      </c>
      <c r="R5" s="15">
        <v>1950.114</v>
      </c>
      <c r="S5" s="15">
        <v>2096.1039999999998</v>
      </c>
      <c r="T5" s="15">
        <v>2077.1320000000001</v>
      </c>
      <c r="U5" s="16">
        <v>2068.8200000000002</v>
      </c>
      <c r="V5" s="15">
        <v>1980.6079999999999</v>
      </c>
      <c r="W5" s="15">
        <v>1942.325</v>
      </c>
      <c r="X5" s="15">
        <v>1902.8910000000001</v>
      </c>
      <c r="Y5" s="15">
        <v>1924.636</v>
      </c>
      <c r="Z5" s="15">
        <v>1900.924</v>
      </c>
      <c r="AA5" s="15">
        <v>1997.8019999999999</v>
      </c>
      <c r="AB5" s="15">
        <v>2045.0989999999999</v>
      </c>
      <c r="AC5" s="15">
        <v>2196.674</v>
      </c>
      <c r="AD5" s="15">
        <v>2146.8629999999998</v>
      </c>
      <c r="AE5" s="15">
        <v>2235.1489999999999</v>
      </c>
      <c r="AF5" s="15">
        <v>1968.5909999999999</v>
      </c>
      <c r="AG5" s="15">
        <v>2147.8780000000002</v>
      </c>
      <c r="AH5" s="15">
        <v>2234.877</v>
      </c>
      <c r="AI5" s="15">
        <v>2488.585</v>
      </c>
      <c r="AJ5" s="15">
        <v>2747.5680000000002</v>
      </c>
      <c r="AK5" s="17" t="s">
        <v>2</v>
      </c>
    </row>
    <row r="6" spans="1:37" x14ac:dyDescent="0.35">
      <c r="A6" s="11" t="s">
        <v>41</v>
      </c>
      <c r="B6" s="13">
        <v>1053.6079999999999</v>
      </c>
      <c r="C6" s="13">
        <v>961.34699999999998</v>
      </c>
      <c r="D6" s="13">
        <v>843.86699999999996</v>
      </c>
      <c r="E6" s="13">
        <v>788.19600000000003</v>
      </c>
      <c r="F6" s="13">
        <v>724.95299999999997</v>
      </c>
      <c r="G6" s="13">
        <v>690.49900000000002</v>
      </c>
      <c r="H6" s="13">
        <v>664.95799999999997</v>
      </c>
      <c r="I6" s="12">
        <v>673.78</v>
      </c>
      <c r="J6" s="13">
        <v>664.42499999999995</v>
      </c>
      <c r="K6" s="13">
        <v>652.68600000000004</v>
      </c>
      <c r="L6" s="13">
        <v>722.12900000000002</v>
      </c>
      <c r="M6" s="13">
        <v>851.18600000000004</v>
      </c>
      <c r="N6" s="13">
        <v>873.01599999999996</v>
      </c>
      <c r="O6" s="13">
        <v>918.91300000000001</v>
      </c>
      <c r="P6" s="13">
        <v>964.04100000000005</v>
      </c>
      <c r="Q6" s="12">
        <v>1007.9</v>
      </c>
      <c r="R6" s="12">
        <v>1112.4000000000001</v>
      </c>
      <c r="S6" s="13">
        <v>1252.3779999999999</v>
      </c>
      <c r="T6" s="13">
        <v>1182.9559999999999</v>
      </c>
      <c r="U6" s="13">
        <v>1038.9459999999999</v>
      </c>
      <c r="V6" s="13">
        <v>1083.453</v>
      </c>
      <c r="W6" s="13">
        <v>964.755</v>
      </c>
      <c r="X6" s="13">
        <v>929.63599999999997</v>
      </c>
      <c r="Y6" s="12">
        <v>939.54</v>
      </c>
      <c r="Z6" s="13">
        <v>982.36699999999996</v>
      </c>
      <c r="AA6" s="12">
        <v>1037.6500000000001</v>
      </c>
      <c r="AB6" s="13">
        <v>1033.5619999999999</v>
      </c>
      <c r="AC6" s="13">
        <v>1080.8240000000001</v>
      </c>
      <c r="AD6" s="13">
        <v>1108.7249999999999</v>
      </c>
      <c r="AE6" s="13">
        <v>1098.8689999999999</v>
      </c>
      <c r="AF6" s="12">
        <v>1045.5</v>
      </c>
      <c r="AG6" s="13">
        <v>1077.0619999999999</v>
      </c>
      <c r="AH6" s="13">
        <v>1022.107</v>
      </c>
      <c r="AI6" s="13">
        <v>1021.614</v>
      </c>
      <c r="AJ6" s="13">
        <v>967.51099999999997</v>
      </c>
      <c r="AK6" s="14" t="s">
        <v>2</v>
      </c>
    </row>
    <row r="7" spans="1:37" x14ac:dyDescent="0.35">
      <c r="A7" s="11" t="s">
        <v>42</v>
      </c>
      <c r="B7" s="15">
        <v>1858.5319999999999</v>
      </c>
      <c r="C7" s="15">
        <v>2051.819</v>
      </c>
      <c r="D7" s="15">
        <v>1347.0830000000001</v>
      </c>
      <c r="E7" s="15">
        <v>1030.3050000000001</v>
      </c>
      <c r="F7" s="15">
        <v>811.601</v>
      </c>
      <c r="G7" s="16">
        <v>997.88</v>
      </c>
      <c r="H7" s="15">
        <v>1096.5650000000001</v>
      </c>
      <c r="I7" s="15">
        <v>1222.9179999999999</v>
      </c>
      <c r="J7" s="15">
        <v>1285.097</v>
      </c>
      <c r="K7" s="15">
        <v>1147.376</v>
      </c>
      <c r="L7" s="15">
        <v>1032.9090000000001</v>
      </c>
      <c r="M7" s="16">
        <v>1127.43</v>
      </c>
      <c r="N7" s="15">
        <v>1168.1890000000001</v>
      </c>
      <c r="O7" s="16">
        <v>1187.76</v>
      </c>
      <c r="P7" s="15">
        <v>1303.7249999999999</v>
      </c>
      <c r="Q7" s="15">
        <v>1386.4380000000001</v>
      </c>
      <c r="R7" s="15">
        <v>1493.684</v>
      </c>
      <c r="S7" s="15">
        <v>1771.2280000000001</v>
      </c>
      <c r="T7" s="15">
        <v>1768.0619999999999</v>
      </c>
      <c r="U7" s="15">
        <v>1465.6020000000001</v>
      </c>
      <c r="V7" s="15">
        <v>1497.0540000000001</v>
      </c>
      <c r="W7" s="15">
        <v>1483.6420000000001</v>
      </c>
      <c r="X7" s="15">
        <v>1508.424</v>
      </c>
      <c r="Y7" s="15">
        <v>1502.068</v>
      </c>
      <c r="Z7" s="15">
        <v>1662.623</v>
      </c>
      <c r="AA7" s="15">
        <v>1750.1859999999999</v>
      </c>
      <c r="AB7" s="15">
        <v>1864.5129999999999</v>
      </c>
      <c r="AC7" s="15">
        <v>1960.0250000000001</v>
      </c>
      <c r="AD7" s="15">
        <v>2081.4940000000001</v>
      </c>
      <c r="AE7" s="15">
        <v>2150.6709999999998</v>
      </c>
      <c r="AF7" s="15">
        <v>2126.4560000000001</v>
      </c>
      <c r="AG7" s="15">
        <v>2144.9720000000002</v>
      </c>
      <c r="AH7" s="15">
        <v>2103.5949999999998</v>
      </c>
      <c r="AI7" s="16">
        <v>2144.1</v>
      </c>
      <c r="AJ7" s="15">
        <v>2084.6790000000001</v>
      </c>
      <c r="AK7" s="17" t="s">
        <v>2</v>
      </c>
    </row>
    <row r="8" spans="1:37" x14ac:dyDescent="0.35">
      <c r="A8" s="11" t="s">
        <v>43</v>
      </c>
      <c r="B8" s="13">
        <v>2954.047</v>
      </c>
      <c r="C8" s="13">
        <v>2589.9459999999999</v>
      </c>
      <c r="D8" s="13">
        <v>2502.627</v>
      </c>
      <c r="E8" s="12">
        <v>2495.02</v>
      </c>
      <c r="F8" s="13">
        <v>2432.143</v>
      </c>
      <c r="G8" s="13">
        <v>2497.4989999999998</v>
      </c>
      <c r="H8" s="13">
        <v>2491.6950000000002</v>
      </c>
      <c r="I8" s="12">
        <v>2629.31</v>
      </c>
      <c r="J8" s="13">
        <v>2905.9589999999998</v>
      </c>
      <c r="K8" s="13">
        <v>3084.451</v>
      </c>
      <c r="L8" s="13">
        <v>3061.3739999999998</v>
      </c>
      <c r="M8" s="13">
        <v>3218.114</v>
      </c>
      <c r="N8" s="13">
        <v>3417.473</v>
      </c>
      <c r="O8" s="13">
        <v>3574.8420000000001</v>
      </c>
      <c r="P8" s="13">
        <v>3735.9119999999998</v>
      </c>
      <c r="Q8" s="13">
        <v>4036.3330000000001</v>
      </c>
      <c r="R8" s="13">
        <v>4318.7879999999996</v>
      </c>
      <c r="S8" s="13">
        <v>4398.6310000000003</v>
      </c>
      <c r="T8" s="13">
        <v>4501.0630000000001</v>
      </c>
      <c r="U8" s="13">
        <v>4480.5339999999997</v>
      </c>
      <c r="V8" s="13">
        <v>4089.3739999999998</v>
      </c>
      <c r="W8" s="13">
        <v>3812.9479999999999</v>
      </c>
      <c r="X8" s="13">
        <v>3692.2330000000002</v>
      </c>
      <c r="Y8" s="13">
        <v>3459.9859999999999</v>
      </c>
      <c r="Z8" s="13">
        <v>3873.2950000000001</v>
      </c>
      <c r="AA8" s="13">
        <v>4181.2529999999997</v>
      </c>
      <c r="AB8" s="13">
        <v>4261.5969999999998</v>
      </c>
      <c r="AC8" s="13">
        <v>4496.7780000000002</v>
      </c>
      <c r="AD8" s="13">
        <v>4790.2280000000001</v>
      </c>
      <c r="AE8" s="13">
        <v>5070.4539999999997</v>
      </c>
      <c r="AF8" s="13">
        <v>4459.5339999999997</v>
      </c>
      <c r="AG8" s="13">
        <v>4897.6180000000004</v>
      </c>
      <c r="AH8" s="13">
        <v>5277.6090000000004</v>
      </c>
      <c r="AI8" s="13">
        <v>4932.683</v>
      </c>
      <c r="AJ8" s="13">
        <v>4907.5169999999998</v>
      </c>
      <c r="AK8" s="14" t="s">
        <v>2</v>
      </c>
    </row>
    <row r="9" spans="1:37" x14ac:dyDescent="0.35">
      <c r="A9" s="11" t="s">
        <v>44</v>
      </c>
      <c r="B9" s="15">
        <v>7185.1120000000001</v>
      </c>
      <c r="C9" s="15">
        <v>7474.4110000000001</v>
      </c>
      <c r="D9" s="15">
        <v>7579.0940000000001</v>
      </c>
      <c r="E9" s="16">
        <v>7423.07</v>
      </c>
      <c r="F9" s="15">
        <v>7700.732</v>
      </c>
      <c r="G9" s="15">
        <v>7978.8040000000001</v>
      </c>
      <c r="H9" s="15">
        <v>8985.5869999999995</v>
      </c>
      <c r="I9" s="15">
        <v>9488.3709999999992</v>
      </c>
      <c r="J9" s="15">
        <v>9969.4130000000005</v>
      </c>
      <c r="K9" s="15">
        <v>10827.962</v>
      </c>
      <c r="L9" s="15">
        <v>9594.7669999999998</v>
      </c>
      <c r="M9" s="15">
        <v>9549.384</v>
      </c>
      <c r="N9" s="15">
        <v>9273.3729999999996</v>
      </c>
      <c r="O9" s="15">
        <v>10139.462</v>
      </c>
      <c r="P9" s="15">
        <v>11384.162</v>
      </c>
      <c r="Q9" s="16">
        <v>12224.81</v>
      </c>
      <c r="R9" s="16">
        <v>13498.18</v>
      </c>
      <c r="S9" s="15">
        <v>14842.218000000001</v>
      </c>
      <c r="T9" s="15">
        <v>15805.594999999999</v>
      </c>
      <c r="U9" s="15">
        <v>16162.093999999999</v>
      </c>
      <c r="V9" s="15">
        <v>17187.324000000001</v>
      </c>
      <c r="W9" s="15">
        <v>17408.452000000001</v>
      </c>
      <c r="X9" s="15">
        <v>16680.374</v>
      </c>
      <c r="Y9" s="16">
        <v>15744.03</v>
      </c>
      <c r="Z9" s="15">
        <v>15804.956</v>
      </c>
      <c r="AA9" s="15">
        <v>16561.088</v>
      </c>
      <c r="AB9" s="15">
        <v>18557.172999999999</v>
      </c>
      <c r="AC9" s="15">
        <v>21415.239000000001</v>
      </c>
      <c r="AD9" s="15">
        <v>22316.791000000001</v>
      </c>
      <c r="AE9" s="15">
        <v>22746.098000000002</v>
      </c>
      <c r="AF9" s="15">
        <v>21725.352999999999</v>
      </c>
      <c r="AG9" s="15">
        <v>23508.374</v>
      </c>
      <c r="AH9" s="15">
        <v>23856.025000000001</v>
      </c>
      <c r="AI9" s="15">
        <v>23719.096000000001</v>
      </c>
      <c r="AJ9" s="15">
        <v>24367.675999999999</v>
      </c>
      <c r="AK9" s="17" t="s">
        <v>2</v>
      </c>
    </row>
    <row r="10" spans="1:37" x14ac:dyDescent="0.35">
      <c r="A10" s="11" t="s">
        <v>45</v>
      </c>
      <c r="B10" s="13">
        <v>4178.4920000000002</v>
      </c>
      <c r="C10" s="13">
        <v>3615.777</v>
      </c>
      <c r="D10" s="13">
        <v>3714.0909999999999</v>
      </c>
      <c r="E10" s="13">
        <v>2976.1669999999999</v>
      </c>
      <c r="F10" s="13">
        <v>3121.3420000000001</v>
      </c>
      <c r="G10" s="13">
        <v>2914.0920000000001</v>
      </c>
      <c r="H10" s="13">
        <v>4023.5529999999999</v>
      </c>
      <c r="I10" s="13">
        <v>4086.7260000000001</v>
      </c>
      <c r="J10" s="12">
        <v>3867.36</v>
      </c>
      <c r="K10" s="13">
        <v>3181.4859999999999</v>
      </c>
      <c r="L10" s="13">
        <v>3321.0210000000002</v>
      </c>
      <c r="M10" s="12">
        <v>3996.98</v>
      </c>
      <c r="N10" s="13">
        <v>4119.9650000000001</v>
      </c>
      <c r="O10" s="13">
        <v>4308.8819999999996</v>
      </c>
      <c r="P10" s="13">
        <v>4468.7089999999998</v>
      </c>
      <c r="Q10" s="13">
        <v>4155.2780000000002</v>
      </c>
      <c r="R10" s="13">
        <v>4269.2460000000001</v>
      </c>
      <c r="S10" s="13">
        <v>4578.3620000000001</v>
      </c>
      <c r="T10" s="13">
        <v>5160.3969999999999</v>
      </c>
      <c r="U10" s="13">
        <v>5268.4250000000002</v>
      </c>
      <c r="V10" s="13">
        <v>4965.8410000000003</v>
      </c>
      <c r="W10" s="12">
        <v>5212.55</v>
      </c>
      <c r="X10" s="13">
        <v>5314.7349999999997</v>
      </c>
      <c r="Y10" s="13">
        <v>5188.7430000000004</v>
      </c>
      <c r="Z10" s="13">
        <v>5266.3329999999996</v>
      </c>
      <c r="AA10" s="13">
        <v>5337.7020000000002</v>
      </c>
      <c r="AB10" s="13">
        <v>5738.0339999999997</v>
      </c>
      <c r="AC10" s="13">
        <v>6149.1880000000001</v>
      </c>
      <c r="AD10" s="13">
        <v>6303.7479999999996</v>
      </c>
      <c r="AE10" s="13">
        <v>6571.9070000000002</v>
      </c>
      <c r="AF10" s="12">
        <v>6460.8</v>
      </c>
      <c r="AG10" s="13">
        <v>6879.2219999999998</v>
      </c>
      <c r="AH10" s="13">
        <v>7444.576</v>
      </c>
      <c r="AI10" s="13">
        <v>7721.8940000000002</v>
      </c>
      <c r="AJ10" s="13">
        <v>7944.8280000000004</v>
      </c>
      <c r="AK10" s="14" t="s">
        <v>2</v>
      </c>
    </row>
    <row r="11" spans="1:37" x14ac:dyDescent="0.35">
      <c r="A11" s="11" t="s">
        <v>46</v>
      </c>
      <c r="B11" s="15">
        <v>909.78599999999994</v>
      </c>
      <c r="C11" s="15">
        <v>856.41099999999994</v>
      </c>
      <c r="D11" s="15">
        <v>882.30499999999995</v>
      </c>
      <c r="E11" s="15">
        <v>1062.2829999999999</v>
      </c>
      <c r="F11" s="15">
        <v>1184.652</v>
      </c>
      <c r="G11" s="15">
        <v>1319.046</v>
      </c>
      <c r="H11" s="15">
        <v>1491.8409999999999</v>
      </c>
      <c r="I11" s="15">
        <v>1559.415</v>
      </c>
      <c r="J11" s="15">
        <v>1300.7950000000001</v>
      </c>
      <c r="K11" s="15">
        <v>1232.2660000000001</v>
      </c>
      <c r="L11" s="15">
        <v>1223.6769999999999</v>
      </c>
      <c r="M11" s="15">
        <v>1273.951</v>
      </c>
      <c r="N11" s="15">
        <v>1301.7360000000001</v>
      </c>
      <c r="O11" s="15">
        <v>1319.239</v>
      </c>
      <c r="P11" s="15">
        <v>1375.153</v>
      </c>
      <c r="Q11" s="15">
        <v>1462.797</v>
      </c>
      <c r="R11" s="15">
        <v>1529.1210000000001</v>
      </c>
      <c r="S11" s="15">
        <v>1731.0909999999999</v>
      </c>
      <c r="T11" s="15">
        <v>2035.7829999999999</v>
      </c>
      <c r="U11" s="15">
        <v>1719.587</v>
      </c>
      <c r="V11" s="15">
        <v>1778.3920000000001</v>
      </c>
      <c r="W11" s="15">
        <v>1882.202</v>
      </c>
      <c r="X11" s="15">
        <v>1899.1030000000001</v>
      </c>
      <c r="Y11" s="15">
        <v>1809.6659999999999</v>
      </c>
      <c r="Z11" s="16">
        <v>1794.9</v>
      </c>
      <c r="AA11" s="16">
        <v>1772.57</v>
      </c>
      <c r="AB11" s="15">
        <v>1882.5329999999999</v>
      </c>
      <c r="AC11" s="15">
        <v>1934.203</v>
      </c>
      <c r="AD11" s="16">
        <v>1974.63</v>
      </c>
      <c r="AE11" s="15">
        <v>1926.5840000000001</v>
      </c>
      <c r="AF11" s="15">
        <v>1583.2919999999999</v>
      </c>
      <c r="AG11" s="15">
        <v>1799.6030000000001</v>
      </c>
      <c r="AH11" s="15">
        <v>1954.951</v>
      </c>
      <c r="AI11" s="15">
        <v>1834.3630000000001</v>
      </c>
      <c r="AJ11" s="15">
        <v>1931.7339999999999</v>
      </c>
      <c r="AK11" s="17" t="s">
        <v>2</v>
      </c>
    </row>
    <row r="12" spans="1:37" x14ac:dyDescent="0.35">
      <c r="A12" s="11" t="s">
        <v>47</v>
      </c>
      <c r="B12" s="12">
        <v>1447.68</v>
      </c>
      <c r="C12" s="13">
        <v>1242.9949999999999</v>
      </c>
      <c r="D12" s="13">
        <v>1254.7439999999999</v>
      </c>
      <c r="E12" s="13">
        <v>1069.298</v>
      </c>
      <c r="F12" s="13">
        <v>1237.9280000000001</v>
      </c>
      <c r="G12" s="13">
        <v>1374.3150000000001</v>
      </c>
      <c r="H12" s="13">
        <v>1248.385</v>
      </c>
      <c r="I12" s="13">
        <v>1447.5450000000001</v>
      </c>
      <c r="J12" s="13">
        <v>1469.4960000000001</v>
      </c>
      <c r="K12" s="13">
        <v>1484.7639999999999</v>
      </c>
      <c r="L12" s="13">
        <v>1429.5050000000001</v>
      </c>
      <c r="M12" s="13">
        <v>2000.616</v>
      </c>
      <c r="N12" s="13">
        <v>2209.482</v>
      </c>
      <c r="O12" s="13">
        <v>2043.5129999999999</v>
      </c>
      <c r="P12" s="13">
        <v>2165.2060000000001</v>
      </c>
      <c r="Q12" s="12">
        <v>2354.8200000000002</v>
      </c>
      <c r="R12" s="13">
        <v>2215.123</v>
      </c>
      <c r="S12" s="13">
        <v>2429.8919999999998</v>
      </c>
      <c r="T12" s="13">
        <v>2668.9409999999998</v>
      </c>
      <c r="U12" s="12">
        <v>2314.1999999999998</v>
      </c>
      <c r="V12" s="13">
        <v>2595.3780000000002</v>
      </c>
      <c r="W12" s="13">
        <v>2596.7660000000001</v>
      </c>
      <c r="X12" s="12">
        <v>2299.84</v>
      </c>
      <c r="Y12" s="13">
        <v>2308.7159999999999</v>
      </c>
      <c r="Z12" s="13">
        <v>2176.422</v>
      </c>
      <c r="AA12" s="13">
        <v>2168.799</v>
      </c>
      <c r="AB12" s="13">
        <v>2429.877</v>
      </c>
      <c r="AC12" s="13">
        <v>2772.6550000000002</v>
      </c>
      <c r="AD12" s="13">
        <v>2744.0509999999999</v>
      </c>
      <c r="AE12" s="13">
        <v>2789.7289999999998</v>
      </c>
      <c r="AF12" s="13">
        <v>2487.886</v>
      </c>
      <c r="AG12" s="13">
        <v>2619.259</v>
      </c>
      <c r="AH12" s="13">
        <v>2659.9609999999998</v>
      </c>
      <c r="AI12" s="13">
        <v>2624.335</v>
      </c>
      <c r="AJ12" s="13">
        <v>2597.7730000000001</v>
      </c>
      <c r="AK12" s="14" t="s">
        <v>2</v>
      </c>
    </row>
  </sheetData>
  <mergeCells count="1">
    <mergeCell ref="AJ1:A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"/>
  <sheetViews>
    <sheetView workbookViewId="0">
      <pane xSplit="1" ySplit="1" topLeftCell="B2" activePane="bottomRight" state="frozen"/>
      <selection pane="topRight"/>
      <selection pane="bottomLeft"/>
      <selection pane="bottomRight" activeCell="AH22" sqref="AH22"/>
    </sheetView>
  </sheetViews>
  <sheetFormatPr defaultRowHeight="11.4" customHeight="1" x14ac:dyDescent="0.35"/>
  <cols>
    <col min="1" max="1" width="11.90625" customWidth="1"/>
    <col min="2" max="36" width="10" customWidth="1"/>
  </cols>
  <sheetData>
    <row r="1" spans="1:36" x14ac:dyDescent="0.35">
      <c r="A1" s="1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</row>
    <row r="2" spans="1:36" x14ac:dyDescent="0.35">
      <c r="A2" s="2" t="s">
        <v>37</v>
      </c>
      <c r="B2" s="4">
        <v>1597.8119999999999</v>
      </c>
      <c r="C2" s="4">
        <v>750.00400000000002</v>
      </c>
      <c r="D2" s="4">
        <v>535.428</v>
      </c>
      <c r="E2" s="4">
        <v>670.18700000000001</v>
      </c>
      <c r="F2" s="4">
        <v>869.80600000000004</v>
      </c>
      <c r="G2" s="4">
        <v>703.69399999999996</v>
      </c>
      <c r="H2" s="4">
        <v>771.60299999999995</v>
      </c>
      <c r="I2" s="4">
        <v>607.18299999999999</v>
      </c>
      <c r="J2" s="4">
        <v>650.45399999999995</v>
      </c>
      <c r="K2" s="4">
        <v>680.67700000000002</v>
      </c>
      <c r="L2" s="4">
        <v>658.39700000000005</v>
      </c>
      <c r="M2" s="4">
        <v>773.15700000000004</v>
      </c>
      <c r="N2" s="4">
        <v>747.41200000000003</v>
      </c>
      <c r="O2" s="4">
        <v>762.99400000000003</v>
      </c>
      <c r="P2" s="4">
        <v>714.995</v>
      </c>
      <c r="Q2" s="4">
        <v>840.94100000000003</v>
      </c>
      <c r="R2" s="4">
        <v>963.00800000000004</v>
      </c>
      <c r="S2" s="4">
        <v>918.49300000000005</v>
      </c>
      <c r="T2" s="4">
        <v>982.44899999999996</v>
      </c>
      <c r="U2" s="4">
        <v>970.05799999999999</v>
      </c>
      <c r="V2" s="4">
        <v>1026.6780000000001</v>
      </c>
      <c r="W2" s="6">
        <v>1089.74</v>
      </c>
      <c r="X2" s="4">
        <v>1069.6980000000001</v>
      </c>
      <c r="Y2" s="4">
        <v>1029.8219999999999</v>
      </c>
      <c r="Z2" s="4">
        <v>992.00199999999995</v>
      </c>
      <c r="AA2" s="4">
        <v>1078.6579999999999</v>
      </c>
      <c r="AB2" s="4">
        <v>1157.0409999999999</v>
      </c>
      <c r="AC2" s="4">
        <v>1167.1559999999999</v>
      </c>
      <c r="AD2" s="4">
        <v>1231.2159999999999</v>
      </c>
      <c r="AE2" s="4">
        <v>1268.0319999999999</v>
      </c>
      <c r="AF2" s="4">
        <v>1066.1120000000001</v>
      </c>
      <c r="AG2" s="4">
        <v>1299.855</v>
      </c>
      <c r="AH2" s="4">
        <v>1343.364</v>
      </c>
      <c r="AI2" s="4">
        <v>1264.7329999999999</v>
      </c>
      <c r="AJ2" s="4">
        <v>1320.059</v>
      </c>
    </row>
    <row r="3" spans="1:36" x14ac:dyDescent="0.35">
      <c r="A3" s="2" t="s">
        <v>38</v>
      </c>
      <c r="B3" s="3">
        <v>3029.9479999999999</v>
      </c>
      <c r="C3" s="3">
        <v>3215.6619999999998</v>
      </c>
      <c r="D3" s="3">
        <v>1887.9770000000001</v>
      </c>
      <c r="E3" s="3">
        <v>1710.377</v>
      </c>
      <c r="F3" s="3">
        <v>1641.413</v>
      </c>
      <c r="G3" s="3">
        <v>2416.3789999999999</v>
      </c>
      <c r="H3" s="5">
        <v>2309.8200000000002</v>
      </c>
      <c r="I3" s="3">
        <v>2345.3240000000001</v>
      </c>
      <c r="J3" s="3">
        <v>2646.0770000000002</v>
      </c>
      <c r="K3" s="3">
        <v>2927.0030000000002</v>
      </c>
      <c r="L3" s="3">
        <v>2971.701</v>
      </c>
      <c r="M3" s="3">
        <v>3215.3110000000001</v>
      </c>
      <c r="N3" s="3">
        <v>3029.3620000000001</v>
      </c>
      <c r="O3" s="3">
        <v>3429.547</v>
      </c>
      <c r="P3" s="3">
        <v>3488.6019999999999</v>
      </c>
      <c r="Q3" s="3">
        <v>3137.4740000000002</v>
      </c>
      <c r="R3" s="3">
        <v>3095.3539999999998</v>
      </c>
      <c r="S3" s="3">
        <v>2972.5259999999998</v>
      </c>
      <c r="T3" s="3">
        <v>3157.3609999999999</v>
      </c>
      <c r="U3" s="3">
        <v>2977.0740000000001</v>
      </c>
      <c r="V3" s="3">
        <v>3249.0619999999999</v>
      </c>
      <c r="W3" s="3">
        <v>3132.5590000000002</v>
      </c>
      <c r="X3" s="3">
        <v>3039.527</v>
      </c>
      <c r="Y3" s="3">
        <v>3010.0659999999998</v>
      </c>
      <c r="Z3" s="3">
        <v>2922.578</v>
      </c>
      <c r="AA3" s="3">
        <v>2977.3670000000002</v>
      </c>
      <c r="AB3" s="3">
        <v>3091.444</v>
      </c>
      <c r="AC3" s="3">
        <v>3180.7719999999999</v>
      </c>
      <c r="AD3" s="3">
        <v>3127.7669999999998</v>
      </c>
      <c r="AE3" s="3">
        <v>3191.895</v>
      </c>
      <c r="AF3" s="5">
        <v>2987.13</v>
      </c>
      <c r="AG3" s="3">
        <v>2966.8440000000001</v>
      </c>
      <c r="AH3" s="3">
        <v>2889.8919999999998</v>
      </c>
      <c r="AI3" s="5">
        <v>2693.4</v>
      </c>
      <c r="AJ3" s="5">
        <v>2746.66</v>
      </c>
    </row>
    <row r="4" spans="1:36" x14ac:dyDescent="0.35">
      <c r="A4" s="2" t="s">
        <v>39</v>
      </c>
      <c r="B4" s="4">
        <v>287.52699999999999</v>
      </c>
      <c r="C4" s="4">
        <v>270.71300000000002</v>
      </c>
      <c r="D4" s="4">
        <v>280.17099999999999</v>
      </c>
      <c r="E4" s="4">
        <v>135.232</v>
      </c>
      <c r="F4" s="4">
        <v>267.42599999999999</v>
      </c>
      <c r="G4" s="4">
        <v>171.976</v>
      </c>
      <c r="H4" s="4">
        <v>222.96700000000001</v>
      </c>
      <c r="I4" s="4">
        <v>249.101</v>
      </c>
      <c r="J4" s="4">
        <v>248.40600000000001</v>
      </c>
      <c r="K4" s="4">
        <v>276.18700000000001</v>
      </c>
      <c r="L4" s="4">
        <v>288.15600000000001</v>
      </c>
      <c r="M4" s="4">
        <v>296.16300000000001</v>
      </c>
      <c r="N4" s="4">
        <v>299.255</v>
      </c>
      <c r="O4" s="4">
        <v>338.58800000000002</v>
      </c>
      <c r="P4" s="4">
        <v>380.53500000000003</v>
      </c>
      <c r="Q4" s="4">
        <v>388.66899999999998</v>
      </c>
      <c r="R4" s="4">
        <v>397.07799999999997</v>
      </c>
      <c r="S4" s="4">
        <v>409.87799999999999</v>
      </c>
      <c r="T4" s="4">
        <v>433.18099999999998</v>
      </c>
      <c r="U4" s="4">
        <v>418.577</v>
      </c>
      <c r="V4" s="4">
        <v>424.23899999999998</v>
      </c>
      <c r="W4" s="4">
        <v>402.178</v>
      </c>
      <c r="X4" s="6">
        <v>423.52</v>
      </c>
      <c r="Y4" s="4">
        <v>417.892</v>
      </c>
      <c r="Z4" s="4">
        <v>457.642</v>
      </c>
      <c r="AA4" s="4">
        <v>465.39499999999998</v>
      </c>
      <c r="AB4" s="4">
        <v>498.23599999999999</v>
      </c>
      <c r="AC4" s="4">
        <v>466.59100000000001</v>
      </c>
      <c r="AD4" s="4">
        <v>490.28500000000003</v>
      </c>
      <c r="AE4" s="6">
        <v>462.14</v>
      </c>
      <c r="AF4" s="4">
        <v>467.154</v>
      </c>
      <c r="AG4" s="4">
        <v>511.93400000000003</v>
      </c>
      <c r="AH4" s="4">
        <v>455.45100000000002</v>
      </c>
      <c r="AI4" s="6">
        <v>361.21</v>
      </c>
      <c r="AJ4" s="6">
        <v>389.32</v>
      </c>
    </row>
    <row r="5" spans="1:36" x14ac:dyDescent="0.35">
      <c r="A5" s="2" t="s">
        <v>40</v>
      </c>
      <c r="B5" s="5">
        <v>492.07</v>
      </c>
      <c r="C5" s="3">
        <v>408.10500000000002</v>
      </c>
      <c r="D5" s="3">
        <v>341.76100000000002</v>
      </c>
      <c r="E5" s="3">
        <v>413.57600000000002</v>
      </c>
      <c r="F5" s="3">
        <v>444.69299999999998</v>
      </c>
      <c r="G5" s="3">
        <v>482.95699999999999</v>
      </c>
      <c r="H5" s="3">
        <v>505.36900000000003</v>
      </c>
      <c r="I5" s="3">
        <v>508.47300000000001</v>
      </c>
      <c r="J5" s="3">
        <v>521.76300000000003</v>
      </c>
      <c r="K5" s="3">
        <v>531.87699999999995</v>
      </c>
      <c r="L5" s="3">
        <v>520.46799999999996</v>
      </c>
      <c r="M5" s="3">
        <v>594.08600000000001</v>
      </c>
      <c r="N5" s="3">
        <v>626.07399999999996</v>
      </c>
      <c r="O5" s="3">
        <v>666.29300000000001</v>
      </c>
      <c r="P5" s="3">
        <v>690.26300000000003</v>
      </c>
      <c r="Q5" s="3">
        <v>721.25900000000001</v>
      </c>
      <c r="R5" s="5">
        <v>715.28</v>
      </c>
      <c r="S5" s="3">
        <v>707.57100000000003</v>
      </c>
      <c r="T5" s="5">
        <v>754.36</v>
      </c>
      <c r="U5" s="3">
        <v>758.46299999999997</v>
      </c>
      <c r="V5" s="3">
        <v>797.58399999999995</v>
      </c>
      <c r="W5" s="3">
        <v>786.56799999999998</v>
      </c>
      <c r="X5" s="3">
        <v>758.30600000000004</v>
      </c>
      <c r="Y5" s="3">
        <v>740.88099999999997</v>
      </c>
      <c r="Z5" s="3">
        <v>693.71699999999998</v>
      </c>
      <c r="AA5" s="3">
        <v>763.67899999999997</v>
      </c>
      <c r="AB5" s="3">
        <v>780.99199999999996</v>
      </c>
      <c r="AC5" s="3">
        <v>818.06100000000004</v>
      </c>
      <c r="AD5" s="3">
        <v>832.93499999999995</v>
      </c>
      <c r="AE5" s="3">
        <v>835.88599999999997</v>
      </c>
      <c r="AF5" s="3">
        <v>757.78800000000001</v>
      </c>
      <c r="AG5" s="3">
        <v>848.096</v>
      </c>
      <c r="AH5" s="3">
        <v>808.947</v>
      </c>
      <c r="AI5" s="5">
        <v>780.95</v>
      </c>
      <c r="AJ5" s="5">
        <v>786.6</v>
      </c>
    </row>
    <row r="6" spans="1:36" x14ac:dyDescent="0.35">
      <c r="A6" s="2" t="s">
        <v>41</v>
      </c>
      <c r="B6" s="4">
        <v>1102.5730000000001</v>
      </c>
      <c r="C6" s="4">
        <v>1166.1379999999999</v>
      </c>
      <c r="D6" s="4">
        <v>910.90499999999997</v>
      </c>
      <c r="E6" s="4">
        <v>751.79399999999998</v>
      </c>
      <c r="F6" s="4">
        <v>708.452</v>
      </c>
      <c r="G6" s="4">
        <v>662.45600000000002</v>
      </c>
      <c r="H6" s="4">
        <v>563.78200000000004</v>
      </c>
      <c r="I6" s="4">
        <v>590.77499999999998</v>
      </c>
      <c r="J6" s="4">
        <v>561.13099999999997</v>
      </c>
      <c r="K6" s="4">
        <v>523.93899999999996</v>
      </c>
      <c r="L6" s="4">
        <v>472.68799999999999</v>
      </c>
      <c r="M6" s="4">
        <v>501.96199999999999</v>
      </c>
      <c r="N6" s="4">
        <v>534.92499999999995</v>
      </c>
      <c r="O6" s="4">
        <v>564.69500000000005</v>
      </c>
      <c r="P6" s="4">
        <v>596.23199999999997</v>
      </c>
      <c r="Q6" s="4">
        <v>594.58100000000002</v>
      </c>
      <c r="R6" s="4">
        <v>635.79700000000003</v>
      </c>
      <c r="S6" s="4">
        <v>683.32799999999997</v>
      </c>
      <c r="T6" s="4">
        <v>609.94799999999998</v>
      </c>
      <c r="U6" s="4">
        <v>572.96400000000006</v>
      </c>
      <c r="V6" s="4">
        <v>597.80100000000004</v>
      </c>
      <c r="W6" s="4">
        <v>556.70899999999995</v>
      </c>
      <c r="X6" s="4">
        <v>623.33100000000002</v>
      </c>
      <c r="Y6" s="4">
        <v>600.44600000000003</v>
      </c>
      <c r="Z6" s="4">
        <v>608.77200000000005</v>
      </c>
      <c r="AA6" s="4">
        <v>586.30799999999999</v>
      </c>
      <c r="AB6" s="4">
        <v>592.49400000000003</v>
      </c>
      <c r="AC6" s="4">
        <v>606.77800000000002</v>
      </c>
      <c r="AD6" s="4">
        <v>591.75099999999998</v>
      </c>
      <c r="AE6" s="4">
        <v>568.47199999999998</v>
      </c>
      <c r="AF6" s="4">
        <v>549.95399999999995</v>
      </c>
      <c r="AG6" s="4">
        <v>600.65599999999995</v>
      </c>
      <c r="AH6" s="4">
        <v>569.98500000000001</v>
      </c>
      <c r="AI6" s="4">
        <v>539.56299999999999</v>
      </c>
      <c r="AJ6" s="4">
        <v>535.45299999999997</v>
      </c>
    </row>
    <row r="7" spans="1:36" x14ac:dyDescent="0.35">
      <c r="A7" s="2" t="s">
        <v>42</v>
      </c>
      <c r="B7" s="3">
        <v>1713.441</v>
      </c>
      <c r="C7" s="3">
        <v>1922.193</v>
      </c>
      <c r="D7" s="3">
        <v>1014.119</v>
      </c>
      <c r="E7" s="5">
        <v>720.74</v>
      </c>
      <c r="F7" s="3">
        <v>789.09799999999996</v>
      </c>
      <c r="G7" s="3">
        <v>690.48400000000004</v>
      </c>
      <c r="H7" s="3">
        <v>616.46199999999999</v>
      </c>
      <c r="I7" s="3">
        <v>588.755</v>
      </c>
      <c r="J7" s="3">
        <v>541.32299999999998</v>
      </c>
      <c r="K7" s="3">
        <v>530.33699999999999</v>
      </c>
      <c r="L7" s="3">
        <v>463.44799999999998</v>
      </c>
      <c r="M7" s="3">
        <v>470.91300000000001</v>
      </c>
      <c r="N7" s="5">
        <v>488.87</v>
      </c>
      <c r="O7" s="3">
        <v>518.83299999999997</v>
      </c>
      <c r="P7" s="5">
        <v>541.67999999999995</v>
      </c>
      <c r="Q7" s="3">
        <v>561.99699999999996</v>
      </c>
      <c r="R7" s="3">
        <v>607.52700000000004</v>
      </c>
      <c r="S7" s="3">
        <v>629.697</v>
      </c>
      <c r="T7" s="3">
        <v>604.18299999999999</v>
      </c>
      <c r="U7" s="3">
        <v>590.78700000000003</v>
      </c>
      <c r="V7" s="5">
        <v>600.70000000000005</v>
      </c>
      <c r="W7" s="3">
        <v>583.96100000000001</v>
      </c>
      <c r="X7" s="3">
        <v>610.06399999999996</v>
      </c>
      <c r="Y7" s="3">
        <v>593.02300000000002</v>
      </c>
      <c r="Z7" s="3">
        <v>585.66800000000001</v>
      </c>
      <c r="AA7" s="3">
        <v>574.923</v>
      </c>
      <c r="AB7" s="3">
        <v>602.55200000000002</v>
      </c>
      <c r="AC7" s="3">
        <v>633.86699999999996</v>
      </c>
      <c r="AD7" s="3">
        <v>651.17700000000002</v>
      </c>
      <c r="AE7" s="3">
        <v>626.70699999999999</v>
      </c>
      <c r="AF7" s="3">
        <v>576.20500000000004</v>
      </c>
      <c r="AG7" s="3">
        <v>646.66800000000001</v>
      </c>
      <c r="AH7" s="3">
        <v>623.74400000000003</v>
      </c>
      <c r="AI7" s="3">
        <v>620.89700000000005</v>
      </c>
      <c r="AJ7" s="3">
        <v>639.23099999999999</v>
      </c>
    </row>
    <row r="8" spans="1:36" x14ac:dyDescent="0.35">
      <c r="A8" s="2" t="s">
        <v>43</v>
      </c>
      <c r="B8" s="4">
        <v>2022.0540000000001</v>
      </c>
      <c r="C8" s="4">
        <v>2399.0120000000002</v>
      </c>
      <c r="D8" s="4">
        <v>1988.2260000000001</v>
      </c>
      <c r="E8" s="4">
        <v>2401.029</v>
      </c>
      <c r="F8" s="4">
        <v>2633.9279999999999</v>
      </c>
      <c r="G8" s="4">
        <v>2641.4690000000001</v>
      </c>
      <c r="H8" s="4">
        <v>2983.4609999999998</v>
      </c>
      <c r="I8" s="4">
        <v>2887.6509999999998</v>
      </c>
      <c r="J8" s="4">
        <v>2922.5129999999999</v>
      </c>
      <c r="K8" s="4">
        <v>2961.8380000000002</v>
      </c>
      <c r="L8" s="4">
        <v>3026.2739999999999</v>
      </c>
      <c r="M8" s="4">
        <v>3199.6309999999999</v>
      </c>
      <c r="N8" s="4">
        <v>2967.1439999999998</v>
      </c>
      <c r="O8" s="4">
        <v>3085.163</v>
      </c>
      <c r="P8" s="4">
        <v>3546.0450000000001</v>
      </c>
      <c r="Q8" s="4">
        <v>3500.6239999999998</v>
      </c>
      <c r="R8" s="4">
        <v>3182.9340000000002</v>
      </c>
      <c r="S8" s="4">
        <v>2796.982</v>
      </c>
      <c r="T8" s="4">
        <v>2741.319</v>
      </c>
      <c r="U8" s="4">
        <v>2903.6509999999998</v>
      </c>
      <c r="V8" s="6">
        <v>3048.64</v>
      </c>
      <c r="W8" s="4">
        <v>3053.6120000000001</v>
      </c>
      <c r="X8" s="4">
        <v>2353.8809999999999</v>
      </c>
      <c r="Y8" s="4">
        <v>2337.107</v>
      </c>
      <c r="Z8" s="6">
        <v>2114.7800000000002</v>
      </c>
      <c r="AA8" s="4">
        <v>2203.6570000000002</v>
      </c>
      <c r="AB8" s="4">
        <v>2183.4560000000001</v>
      </c>
      <c r="AC8" s="4">
        <v>2154.1889999999999</v>
      </c>
      <c r="AD8" s="4">
        <v>2098.672</v>
      </c>
      <c r="AE8" s="4">
        <v>2050.4389999999999</v>
      </c>
      <c r="AF8" s="4">
        <v>2000.1949999999999</v>
      </c>
      <c r="AG8" s="4">
        <v>2074.1480000000001</v>
      </c>
      <c r="AH8" s="4">
        <v>1905.6379999999999</v>
      </c>
      <c r="AI8" s="4">
        <v>1642.105</v>
      </c>
      <c r="AJ8" s="4">
        <v>1632.8150000000001</v>
      </c>
    </row>
    <row r="9" spans="1:36" x14ac:dyDescent="0.35">
      <c r="A9" s="2" t="s">
        <v>44</v>
      </c>
      <c r="B9" s="3">
        <v>4953.576</v>
      </c>
      <c r="C9" s="3">
        <v>4882.6390000000001</v>
      </c>
      <c r="D9" s="3">
        <v>4808.6760000000004</v>
      </c>
      <c r="E9" s="5">
        <v>5000.87</v>
      </c>
      <c r="F9" s="3">
        <v>4216.6009999999997</v>
      </c>
      <c r="G9" s="3">
        <v>4134.1719999999996</v>
      </c>
      <c r="H9" s="3">
        <v>4629.982</v>
      </c>
      <c r="I9" s="3">
        <v>4449.7910000000002</v>
      </c>
      <c r="J9" s="3">
        <v>4565.3590000000004</v>
      </c>
      <c r="K9" s="3">
        <v>4905.1930000000002</v>
      </c>
      <c r="L9" s="3">
        <v>4966.0330000000004</v>
      </c>
      <c r="M9" s="3">
        <v>5385.1639999999998</v>
      </c>
      <c r="N9" s="3">
        <v>6092.4859999999999</v>
      </c>
      <c r="O9" s="3">
        <v>6314.6779999999999</v>
      </c>
      <c r="P9" s="3">
        <v>6729.6480000000001</v>
      </c>
      <c r="Q9" s="3">
        <v>6730.2259999999997</v>
      </c>
      <c r="R9" s="3">
        <v>7461.9470000000001</v>
      </c>
      <c r="S9" s="3">
        <v>7111.6090000000004</v>
      </c>
      <c r="T9" s="3">
        <v>7979.5990000000002</v>
      </c>
      <c r="U9" s="3">
        <v>8040.5339999999997</v>
      </c>
      <c r="V9" s="3">
        <v>8836.7450000000008</v>
      </c>
      <c r="W9" s="3">
        <v>8429.4189999999999</v>
      </c>
      <c r="X9" s="3">
        <v>8363.9650000000001</v>
      </c>
      <c r="Y9" s="3">
        <v>8078.7179999999998</v>
      </c>
      <c r="Z9" s="3">
        <v>7788.2759999999998</v>
      </c>
      <c r="AA9" s="3">
        <v>7842.3490000000002</v>
      </c>
      <c r="AB9" s="3">
        <v>8502.8040000000001</v>
      </c>
      <c r="AC9" s="3">
        <v>8044.5389999999998</v>
      </c>
      <c r="AD9" s="3">
        <v>7928.5590000000002</v>
      </c>
      <c r="AE9" s="3">
        <v>7808.0469999999996</v>
      </c>
      <c r="AF9" s="3">
        <v>7561.1509999999998</v>
      </c>
      <c r="AG9" s="3">
        <v>8393.7960000000003</v>
      </c>
      <c r="AH9" s="3">
        <v>8136.768</v>
      </c>
      <c r="AI9" s="3">
        <v>8097.5060000000003</v>
      </c>
      <c r="AJ9" s="3">
        <v>7413.1220000000003</v>
      </c>
    </row>
    <row r="10" spans="1:36" x14ac:dyDescent="0.35">
      <c r="A10" s="2" t="s">
        <v>45</v>
      </c>
      <c r="B10" s="6">
        <v>389.94</v>
      </c>
      <c r="C10" s="4">
        <v>173.08699999999999</v>
      </c>
      <c r="D10" s="4">
        <v>628.43200000000002</v>
      </c>
      <c r="E10" s="6">
        <v>405.46</v>
      </c>
      <c r="F10" s="4">
        <v>465.84300000000002</v>
      </c>
      <c r="G10" s="4">
        <v>511.78199999999998</v>
      </c>
      <c r="H10" s="4">
        <v>683.63900000000001</v>
      </c>
      <c r="I10" s="6">
        <v>474.3</v>
      </c>
      <c r="J10" s="4">
        <v>778.33699999999999</v>
      </c>
      <c r="K10" s="4">
        <v>699.44799999999998</v>
      </c>
      <c r="L10" s="4">
        <v>673.42100000000005</v>
      </c>
      <c r="M10" s="4">
        <v>1122.7760000000001</v>
      </c>
      <c r="N10" s="4">
        <v>557.36800000000005</v>
      </c>
      <c r="O10" s="4">
        <v>1150.384</v>
      </c>
      <c r="P10" s="4">
        <v>1264.0039999999999</v>
      </c>
      <c r="Q10" s="6">
        <v>1669.97</v>
      </c>
      <c r="R10" s="4">
        <v>2411.576</v>
      </c>
      <c r="S10" s="6">
        <v>2019.69</v>
      </c>
      <c r="T10" s="4">
        <v>1697.8009999999999</v>
      </c>
      <c r="U10" s="4">
        <v>1760.3879999999999</v>
      </c>
      <c r="V10" s="4">
        <v>1880.538</v>
      </c>
      <c r="W10" s="4">
        <v>1774.2819999999999</v>
      </c>
      <c r="X10" s="4">
        <v>1763.0989999999999</v>
      </c>
      <c r="Y10" s="6">
        <v>1784.9</v>
      </c>
      <c r="Z10" s="4">
        <v>1768.3879999999999</v>
      </c>
      <c r="AA10" s="4">
        <v>1761.9690000000001</v>
      </c>
      <c r="AB10" s="4">
        <v>1806.394</v>
      </c>
      <c r="AC10" s="4">
        <v>1858.4269999999999</v>
      </c>
      <c r="AD10" s="6">
        <v>1976.15</v>
      </c>
      <c r="AE10" s="4">
        <v>1962.1369999999999</v>
      </c>
      <c r="AF10" s="6">
        <v>1834.29</v>
      </c>
      <c r="AG10" s="4">
        <v>1854.1279999999999</v>
      </c>
      <c r="AH10" s="6">
        <v>1908.08</v>
      </c>
      <c r="AI10" s="4">
        <v>2050.1819999999998</v>
      </c>
      <c r="AJ10" s="6">
        <v>1933.88</v>
      </c>
    </row>
    <row r="11" spans="1:36" x14ac:dyDescent="0.35">
      <c r="A11" s="2" t="s">
        <v>46</v>
      </c>
      <c r="B11" s="3">
        <v>293.67099999999999</v>
      </c>
      <c r="C11" s="3">
        <v>331.84300000000002</v>
      </c>
      <c r="D11" s="5">
        <v>335.02</v>
      </c>
      <c r="E11" s="3">
        <v>377.61099999999999</v>
      </c>
      <c r="F11" s="3">
        <v>336.959</v>
      </c>
      <c r="G11" s="5">
        <v>398.02</v>
      </c>
      <c r="H11" s="3">
        <v>740.59299999999996</v>
      </c>
      <c r="I11" s="3">
        <v>673.22900000000004</v>
      </c>
      <c r="J11" s="3">
        <v>745.19399999999996</v>
      </c>
      <c r="K11" s="3">
        <v>825.93799999999999</v>
      </c>
      <c r="L11" s="3">
        <v>527.202</v>
      </c>
      <c r="M11" s="3">
        <v>720.04899999999998</v>
      </c>
      <c r="N11" s="3">
        <v>715.28899999999999</v>
      </c>
      <c r="O11" s="3">
        <v>504.47800000000001</v>
      </c>
      <c r="P11" s="3">
        <v>543.36199999999997</v>
      </c>
      <c r="Q11" s="3">
        <v>475.779</v>
      </c>
      <c r="R11" s="5">
        <v>438.76</v>
      </c>
      <c r="S11" s="3">
        <v>369.87900000000002</v>
      </c>
      <c r="T11" s="3">
        <v>496.45299999999997</v>
      </c>
      <c r="U11" s="3">
        <v>490.99599999999998</v>
      </c>
      <c r="V11" s="3">
        <v>532.63800000000003</v>
      </c>
      <c r="W11" s="5">
        <v>531.47</v>
      </c>
      <c r="X11" s="3">
        <v>453.358</v>
      </c>
      <c r="Y11" s="3">
        <v>467.77499999999998</v>
      </c>
      <c r="Z11" s="3">
        <v>427.21100000000001</v>
      </c>
      <c r="AA11" s="3">
        <v>454.50299999999999</v>
      </c>
      <c r="AB11" s="3">
        <v>492.42700000000002</v>
      </c>
      <c r="AC11" s="5">
        <v>480.68</v>
      </c>
      <c r="AD11" s="3">
        <v>474.45299999999997</v>
      </c>
      <c r="AE11" s="3">
        <v>451.99400000000003</v>
      </c>
      <c r="AF11" s="3">
        <v>418.34300000000002</v>
      </c>
      <c r="AG11" s="3">
        <v>421.09899999999999</v>
      </c>
      <c r="AH11" s="3">
        <v>429.899</v>
      </c>
      <c r="AI11" s="3">
        <v>437.18400000000003</v>
      </c>
      <c r="AJ11" s="3">
        <v>441.65300000000002</v>
      </c>
    </row>
    <row r="12" spans="1:36" x14ac:dyDescent="0.35">
      <c r="A12" s="2" t="s">
        <v>47</v>
      </c>
      <c r="B12" s="4">
        <v>3659.087</v>
      </c>
      <c r="C12" s="4">
        <v>3173.8789999999999</v>
      </c>
      <c r="D12" s="4">
        <v>2903.7260000000001</v>
      </c>
      <c r="E12" s="4">
        <v>3052.1350000000002</v>
      </c>
      <c r="F12" s="6">
        <v>2451.14</v>
      </c>
      <c r="G12" s="4">
        <v>2655.855</v>
      </c>
      <c r="H12" s="6">
        <v>2670.42</v>
      </c>
      <c r="I12" s="4">
        <v>2409.9690000000001</v>
      </c>
      <c r="J12" s="4">
        <v>2473.3429999999998</v>
      </c>
      <c r="K12" s="4">
        <v>2363.297</v>
      </c>
      <c r="L12" s="4">
        <v>2199.5909999999999</v>
      </c>
      <c r="M12" s="4">
        <v>1705.635</v>
      </c>
      <c r="N12" s="4">
        <v>1552.9659999999999</v>
      </c>
      <c r="O12" s="4">
        <v>1300.518</v>
      </c>
      <c r="P12" s="4">
        <v>1439.761</v>
      </c>
      <c r="Q12" s="4">
        <v>1750.8030000000001</v>
      </c>
      <c r="R12" s="4">
        <v>1877.4690000000001</v>
      </c>
      <c r="S12" s="4">
        <v>1872.441</v>
      </c>
      <c r="T12" s="4">
        <v>1938.741</v>
      </c>
      <c r="U12" s="4">
        <v>1944.4159999999999</v>
      </c>
      <c r="V12" s="6">
        <v>2105.4</v>
      </c>
      <c r="W12" s="4">
        <v>1601.7180000000001</v>
      </c>
      <c r="X12" s="4">
        <v>1451.2449999999999</v>
      </c>
      <c r="Y12" s="4">
        <v>1710.558</v>
      </c>
      <c r="Z12" s="4">
        <v>1233.318</v>
      </c>
      <c r="AA12" s="4">
        <v>1299.549</v>
      </c>
      <c r="AB12" s="4">
        <v>1308.325</v>
      </c>
      <c r="AC12" s="4">
        <v>1426.7370000000001</v>
      </c>
      <c r="AD12" s="4">
        <v>1314.7260000000001</v>
      </c>
      <c r="AE12" s="4">
        <v>1222.5060000000001</v>
      </c>
      <c r="AF12" s="4">
        <v>1108.6980000000001</v>
      </c>
      <c r="AG12" s="4">
        <v>1408.624</v>
      </c>
      <c r="AH12" s="4">
        <v>1285.2190000000001</v>
      </c>
      <c r="AI12" s="4">
        <v>1146.7919999999999</v>
      </c>
      <c r="AJ12" s="4">
        <v>1161.6310000000001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2"/>
  <sheetViews>
    <sheetView workbookViewId="0">
      <pane xSplit="1" ySplit="1" topLeftCell="B2" activePane="bottomRight" state="frozen"/>
      <selection pane="topRight"/>
      <selection pane="bottomLeft"/>
      <selection pane="bottomRight" activeCell="F42" sqref="F42"/>
    </sheetView>
  </sheetViews>
  <sheetFormatPr defaultRowHeight="11.4" customHeight="1" x14ac:dyDescent="0.35"/>
  <cols>
    <col min="1" max="1" width="11.90625" customWidth="1"/>
    <col min="2" max="36" width="10" customWidth="1"/>
  </cols>
  <sheetData>
    <row r="1" spans="1:36" x14ac:dyDescent="0.35">
      <c r="A1" s="1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</row>
    <row r="2" spans="1:36" x14ac:dyDescent="0.35">
      <c r="A2" s="2" t="s">
        <v>37</v>
      </c>
      <c r="B2" s="6">
        <v>2336.0700000000002</v>
      </c>
      <c r="C2" s="4">
        <v>2479.3209999999999</v>
      </c>
      <c r="D2" s="4">
        <v>2626.8040000000001</v>
      </c>
      <c r="E2" s="4">
        <v>2829.252</v>
      </c>
      <c r="F2" s="4">
        <v>2443.498</v>
      </c>
      <c r="G2" s="4">
        <v>2447.4659999999999</v>
      </c>
      <c r="H2" s="6">
        <v>2685.13</v>
      </c>
      <c r="I2" s="4">
        <v>2213.172</v>
      </c>
      <c r="J2" s="4">
        <v>2424.3690000000001</v>
      </c>
      <c r="K2" s="4">
        <v>2174.123</v>
      </c>
      <c r="L2" s="4">
        <v>2101.596</v>
      </c>
      <c r="M2" s="4">
        <v>1975.0630000000001</v>
      </c>
      <c r="N2" s="4">
        <v>2116.7489999999998</v>
      </c>
      <c r="O2" s="4">
        <v>2231.7530000000002</v>
      </c>
      <c r="P2" s="4">
        <v>2084.5630000000001</v>
      </c>
      <c r="Q2" s="4">
        <v>2089.6660000000002</v>
      </c>
      <c r="R2" s="4">
        <v>2158.268</v>
      </c>
      <c r="S2" s="6">
        <v>2061.67</v>
      </c>
      <c r="T2" s="4">
        <v>2113.4630000000002</v>
      </c>
      <c r="U2" s="4">
        <v>2114.011</v>
      </c>
      <c r="V2" s="4">
        <v>2243.3380000000002</v>
      </c>
      <c r="W2" s="4">
        <v>2374.2809999999999</v>
      </c>
      <c r="X2" s="4">
        <v>2352.5590000000002</v>
      </c>
      <c r="Y2" s="4">
        <v>2241.0360000000001</v>
      </c>
      <c r="Z2" s="4">
        <v>2164.991</v>
      </c>
      <c r="AA2" s="4">
        <v>2192.9119999999998</v>
      </c>
      <c r="AB2" s="4">
        <v>2252.1109999999999</v>
      </c>
      <c r="AC2" s="4">
        <v>2318.7150000000001</v>
      </c>
      <c r="AD2" s="4">
        <v>2229.672</v>
      </c>
      <c r="AE2" s="4">
        <v>2162.252</v>
      </c>
      <c r="AF2" s="4">
        <v>2382.2449999999999</v>
      </c>
      <c r="AG2" s="4">
        <v>2403.893</v>
      </c>
      <c r="AH2" s="4">
        <v>2137.3969999999999</v>
      </c>
      <c r="AI2" s="4">
        <v>2046.5820000000001</v>
      </c>
      <c r="AJ2" s="4">
        <v>1961.546</v>
      </c>
    </row>
    <row r="3" spans="1:36" x14ac:dyDescent="0.35">
      <c r="A3" s="2" t="s">
        <v>38</v>
      </c>
      <c r="B3" s="5">
        <v>7343.44</v>
      </c>
      <c r="C3" s="3">
        <v>7027.5029999999997</v>
      </c>
      <c r="D3" s="3">
        <v>6493.7839999999997</v>
      </c>
      <c r="E3" s="3">
        <v>6392.0339999999997</v>
      </c>
      <c r="F3" s="3">
        <v>6410.5150000000003</v>
      </c>
      <c r="G3" s="3">
        <v>6584.0050000000001</v>
      </c>
      <c r="H3" s="3">
        <v>7341.6350000000002</v>
      </c>
      <c r="I3" s="5">
        <v>6989.25</v>
      </c>
      <c r="J3" s="3">
        <v>6575.1109999999999</v>
      </c>
      <c r="K3" s="3">
        <v>6529.0190000000002</v>
      </c>
      <c r="L3" s="3">
        <v>6437.1229999999996</v>
      </c>
      <c r="M3" s="3">
        <v>7007.7969999999996</v>
      </c>
      <c r="N3" s="3">
        <v>6719.3029999999999</v>
      </c>
      <c r="O3" s="3">
        <v>6933.3639999999996</v>
      </c>
      <c r="P3" s="3">
        <v>6828.8580000000002</v>
      </c>
      <c r="Q3" s="3">
        <v>6665.5389999999998</v>
      </c>
      <c r="R3" s="3">
        <v>6786.7849999999999</v>
      </c>
      <c r="S3" s="3">
        <v>6414.4960000000001</v>
      </c>
      <c r="T3" s="3">
        <v>6512.1390000000001</v>
      </c>
      <c r="U3" s="3">
        <v>6656.5709999999999</v>
      </c>
      <c r="V3" s="3">
        <v>7440.7110000000002</v>
      </c>
      <c r="W3" s="3">
        <v>6863.723</v>
      </c>
      <c r="X3" s="5">
        <v>7115.57</v>
      </c>
      <c r="Y3" s="3">
        <v>7269.1329999999998</v>
      </c>
      <c r="Z3" s="3">
        <v>6554.1729999999998</v>
      </c>
      <c r="AA3" s="5">
        <v>6769.51</v>
      </c>
      <c r="AB3" s="3">
        <v>7090.1719999999996</v>
      </c>
      <c r="AC3" s="3">
        <v>7202.9650000000001</v>
      </c>
      <c r="AD3" s="3">
        <v>7042.7079999999996</v>
      </c>
      <c r="AE3" s="3">
        <v>6963.3869999999997</v>
      </c>
      <c r="AF3" s="3">
        <v>7148.0519999999997</v>
      </c>
      <c r="AG3" s="3">
        <v>7864.1660000000002</v>
      </c>
      <c r="AH3" s="3">
        <v>7157.7659999999996</v>
      </c>
      <c r="AI3" s="3">
        <v>6416.1580000000004</v>
      </c>
      <c r="AJ3" s="3">
        <v>6229.4110000000001</v>
      </c>
    </row>
    <row r="4" spans="1:36" x14ac:dyDescent="0.35">
      <c r="A4" s="2" t="s">
        <v>39</v>
      </c>
      <c r="B4" s="4">
        <v>1006.216</v>
      </c>
      <c r="C4" s="4">
        <v>885.00800000000004</v>
      </c>
      <c r="D4" s="4">
        <v>773.14200000000005</v>
      </c>
      <c r="E4" s="4">
        <v>751.73299999999995</v>
      </c>
      <c r="F4" s="4">
        <v>888.21799999999996</v>
      </c>
      <c r="G4" s="4">
        <v>1082.3430000000001</v>
      </c>
      <c r="H4" s="4">
        <v>1147.364</v>
      </c>
      <c r="I4" s="4">
        <v>1146.558</v>
      </c>
      <c r="J4" s="4">
        <v>1000.777</v>
      </c>
      <c r="K4" s="6">
        <v>954.78</v>
      </c>
      <c r="L4" s="6">
        <v>926.31</v>
      </c>
      <c r="M4" s="4">
        <v>946.97199999999998</v>
      </c>
      <c r="N4" s="4">
        <v>915.904</v>
      </c>
      <c r="O4" s="4">
        <v>924.16300000000001</v>
      </c>
      <c r="P4" s="4">
        <v>921.95399999999995</v>
      </c>
      <c r="Q4" s="4">
        <v>889.16700000000003</v>
      </c>
      <c r="R4" s="4">
        <v>881.16899999999998</v>
      </c>
      <c r="S4" s="4">
        <v>961.51900000000001</v>
      </c>
      <c r="T4" s="4">
        <v>951.95100000000002</v>
      </c>
      <c r="U4" s="4">
        <v>970.06799999999998</v>
      </c>
      <c r="V4" s="4">
        <v>1026.8489999999999</v>
      </c>
      <c r="W4" s="4">
        <v>935.25300000000004</v>
      </c>
      <c r="X4" s="4">
        <v>970.82799999999997</v>
      </c>
      <c r="Y4" s="4">
        <v>933.50599999999997</v>
      </c>
      <c r="Z4" s="4">
        <v>888.14300000000003</v>
      </c>
      <c r="AA4" s="4">
        <v>857.43499999999995</v>
      </c>
      <c r="AB4" s="4">
        <v>930.57799999999997</v>
      </c>
      <c r="AC4" s="4">
        <v>940.91399999999999</v>
      </c>
      <c r="AD4" s="4">
        <v>941.04200000000003</v>
      </c>
      <c r="AE4" s="4">
        <v>951.351</v>
      </c>
      <c r="AF4" s="4">
        <v>944.70399999999995</v>
      </c>
      <c r="AG4" s="4">
        <v>965.25599999999997</v>
      </c>
      <c r="AH4" s="6">
        <v>963.88</v>
      </c>
      <c r="AI4" s="4">
        <v>935.976</v>
      </c>
      <c r="AJ4" s="4">
        <v>938.74699999999996</v>
      </c>
    </row>
    <row r="5" spans="1:36" x14ac:dyDescent="0.35">
      <c r="A5" s="2" t="s">
        <v>40</v>
      </c>
      <c r="B5" s="3">
        <v>1971.2439999999999</v>
      </c>
      <c r="C5" s="3">
        <v>2272.567</v>
      </c>
      <c r="D5" s="3">
        <v>1974.941</v>
      </c>
      <c r="E5" s="3">
        <v>2058.8629999999998</v>
      </c>
      <c r="F5" s="3">
        <v>1978.2239999999999</v>
      </c>
      <c r="G5" s="3">
        <v>2166.8310000000001</v>
      </c>
      <c r="H5" s="3">
        <v>2426.6579999999999</v>
      </c>
      <c r="I5" s="3">
        <v>2363.4920000000002</v>
      </c>
      <c r="J5" s="5">
        <v>2368.9</v>
      </c>
      <c r="K5" s="3">
        <v>2484.067</v>
      </c>
      <c r="L5" s="5">
        <v>2294.89</v>
      </c>
      <c r="M5" s="3">
        <v>2469.7629999999999</v>
      </c>
      <c r="N5" s="3">
        <v>2483.3130000000001</v>
      </c>
      <c r="O5" s="3">
        <v>2706.366</v>
      </c>
      <c r="P5" s="3">
        <v>2701.991</v>
      </c>
      <c r="Q5" s="3">
        <v>2826.1210000000001</v>
      </c>
      <c r="R5" s="3">
        <v>2658.9360000000001</v>
      </c>
      <c r="S5" s="3">
        <v>2530.1309999999999</v>
      </c>
      <c r="T5" s="5">
        <v>2589.92</v>
      </c>
      <c r="U5" s="3">
        <v>2645.6080000000002</v>
      </c>
      <c r="V5" s="3">
        <v>2770.8820000000001</v>
      </c>
      <c r="W5" s="5">
        <v>2643.5</v>
      </c>
      <c r="X5" s="3">
        <v>2561.3040000000001</v>
      </c>
      <c r="Y5" s="3">
        <v>2493.453</v>
      </c>
      <c r="Z5" s="3">
        <v>2228.5320000000002</v>
      </c>
      <c r="AA5" s="3">
        <v>2429.9160000000002</v>
      </c>
      <c r="AB5" s="3">
        <v>2409.1579999999999</v>
      </c>
      <c r="AC5" s="5">
        <v>2392.7199999999998</v>
      </c>
      <c r="AD5" s="3">
        <v>2298.895</v>
      </c>
      <c r="AE5" s="3">
        <v>2238.5859999999998</v>
      </c>
      <c r="AF5" s="3">
        <v>2277.143</v>
      </c>
      <c r="AG5" s="5">
        <v>2441.87</v>
      </c>
      <c r="AH5" s="3">
        <v>2286.3589999999999</v>
      </c>
      <c r="AI5" s="3">
        <v>2224.5259999999998</v>
      </c>
      <c r="AJ5" s="3">
        <v>2212.0309999999999</v>
      </c>
    </row>
    <row r="6" spans="1:36" x14ac:dyDescent="0.35">
      <c r="A6" s="2" t="s">
        <v>41</v>
      </c>
      <c r="B6" s="4">
        <v>1582.8610000000001</v>
      </c>
      <c r="C6" s="4">
        <v>1762.827</v>
      </c>
      <c r="D6" s="4">
        <v>1686.4390000000001</v>
      </c>
      <c r="E6" s="4">
        <v>1738.2329999999999</v>
      </c>
      <c r="F6" s="4">
        <v>1667.221</v>
      </c>
      <c r="G6" s="4">
        <v>1600.616</v>
      </c>
      <c r="H6" s="4">
        <v>1691.8209999999999</v>
      </c>
      <c r="I6" s="6">
        <v>1540.61</v>
      </c>
      <c r="J6" s="4">
        <v>1499.2840000000001</v>
      </c>
      <c r="K6" s="4">
        <v>1410.0429999999999</v>
      </c>
      <c r="L6" s="4">
        <v>1326.6420000000001</v>
      </c>
      <c r="M6" s="4">
        <v>1442.2729999999999</v>
      </c>
      <c r="N6" s="4">
        <v>1431.0350000000001</v>
      </c>
      <c r="O6" s="6">
        <v>1498.75</v>
      </c>
      <c r="P6" s="4">
        <v>1472.758</v>
      </c>
      <c r="Q6" s="4">
        <v>1503.944</v>
      </c>
      <c r="R6" s="4">
        <v>1480.6479999999999</v>
      </c>
      <c r="S6" s="4">
        <v>1457.7059999999999</v>
      </c>
      <c r="T6" s="6">
        <v>1451.54</v>
      </c>
      <c r="U6" s="4">
        <v>1534.586</v>
      </c>
      <c r="V6" s="4">
        <v>1388.905</v>
      </c>
      <c r="W6" s="4">
        <v>1327.3889999999999</v>
      </c>
      <c r="X6" s="6">
        <v>1376.24</v>
      </c>
      <c r="Y6" s="4">
        <v>1267.242</v>
      </c>
      <c r="Z6" s="4">
        <v>1238.471</v>
      </c>
      <c r="AA6" s="4">
        <v>1105.5820000000001</v>
      </c>
      <c r="AB6" s="4">
        <v>1143.4829999999999</v>
      </c>
      <c r="AC6" s="4">
        <v>1195.604</v>
      </c>
      <c r="AD6" s="4">
        <v>1231.009</v>
      </c>
      <c r="AE6" s="4">
        <v>1187.9670000000001</v>
      </c>
      <c r="AF6" s="4">
        <v>1115.366</v>
      </c>
      <c r="AG6" s="4">
        <v>1202.9929999999999</v>
      </c>
      <c r="AH6" s="4">
        <v>1115.069</v>
      </c>
      <c r="AI6" s="4">
        <v>1079.133</v>
      </c>
      <c r="AJ6" s="4">
        <v>1099.3409999999999</v>
      </c>
    </row>
    <row r="7" spans="1:36" x14ac:dyDescent="0.35">
      <c r="A7" s="2" t="s">
        <v>42</v>
      </c>
      <c r="B7" s="5">
        <v>1842.68</v>
      </c>
      <c r="C7" s="3">
        <v>2007.1389999999999</v>
      </c>
      <c r="D7" s="5">
        <v>1628.92</v>
      </c>
      <c r="E7" s="3">
        <v>1713.8530000000001</v>
      </c>
      <c r="F7" s="3">
        <v>1748.729</v>
      </c>
      <c r="G7" s="3">
        <v>1640.0709999999999</v>
      </c>
      <c r="H7" s="3">
        <v>1549.527</v>
      </c>
      <c r="I7" s="3">
        <v>1497.4680000000001</v>
      </c>
      <c r="J7" s="3">
        <v>1450.2360000000001</v>
      </c>
      <c r="K7" s="5">
        <v>1401.67</v>
      </c>
      <c r="L7" s="3">
        <v>1366.002</v>
      </c>
      <c r="M7" s="3">
        <v>1417.8030000000001</v>
      </c>
      <c r="N7" s="3">
        <v>1440.644</v>
      </c>
      <c r="O7" s="3">
        <v>1465.1210000000001</v>
      </c>
      <c r="P7" s="3">
        <v>1478.962</v>
      </c>
      <c r="Q7" s="3">
        <v>1506.5909999999999</v>
      </c>
      <c r="R7" s="3">
        <v>1568.999</v>
      </c>
      <c r="S7" s="3">
        <v>1503.5709999999999</v>
      </c>
      <c r="T7" s="3">
        <v>1551.8030000000001</v>
      </c>
      <c r="U7" s="3">
        <v>1568.6479999999999</v>
      </c>
      <c r="V7" s="3">
        <v>1593.2159999999999</v>
      </c>
      <c r="W7" s="3">
        <v>1532.2070000000001</v>
      </c>
      <c r="X7" s="3">
        <v>1534.798</v>
      </c>
      <c r="Y7" s="3">
        <v>1467.1980000000001</v>
      </c>
      <c r="Z7" s="5">
        <v>1400.9</v>
      </c>
      <c r="AA7" s="3">
        <v>1359.1310000000001</v>
      </c>
      <c r="AB7" s="3">
        <v>1433.211</v>
      </c>
      <c r="AC7" s="3">
        <v>1455.374</v>
      </c>
      <c r="AD7" s="3">
        <v>1511.606</v>
      </c>
      <c r="AE7" s="3">
        <v>1447.1769999999999</v>
      </c>
      <c r="AF7" s="3">
        <v>1433.3610000000001</v>
      </c>
      <c r="AG7" s="3">
        <v>1629.694</v>
      </c>
      <c r="AH7" s="3">
        <v>1558.114</v>
      </c>
      <c r="AI7" s="3">
        <v>1530.9449999999999</v>
      </c>
      <c r="AJ7" s="3">
        <v>1616.951</v>
      </c>
    </row>
    <row r="8" spans="1:36" x14ac:dyDescent="0.35">
      <c r="A8" s="2" t="s">
        <v>43</v>
      </c>
      <c r="B8" s="4">
        <v>6720.5429999999997</v>
      </c>
      <c r="C8" s="4">
        <v>6968.3450000000003</v>
      </c>
      <c r="D8" s="4">
        <v>6366.6019999999999</v>
      </c>
      <c r="E8" s="4">
        <v>6323.5529999999999</v>
      </c>
      <c r="F8" s="4">
        <v>6202.5770000000002</v>
      </c>
      <c r="G8" s="4">
        <v>6200.4350000000004</v>
      </c>
      <c r="H8" s="4">
        <v>6235.3519999999999</v>
      </c>
      <c r="I8" s="4">
        <v>5833.0680000000002</v>
      </c>
      <c r="J8" s="4">
        <v>5634.6549999999997</v>
      </c>
      <c r="K8" s="4">
        <v>5779.6949999999997</v>
      </c>
      <c r="L8" s="4">
        <v>5601.8530000000001</v>
      </c>
      <c r="M8" s="4">
        <v>6009.5950000000003</v>
      </c>
      <c r="N8" s="4">
        <v>6016.6369999999997</v>
      </c>
      <c r="O8" s="4">
        <v>6603.9179999999997</v>
      </c>
      <c r="P8" s="4">
        <v>6091.4889999999996</v>
      </c>
      <c r="Q8" s="4">
        <v>6969.2749999999996</v>
      </c>
      <c r="R8" s="4">
        <v>6713.4449999999997</v>
      </c>
      <c r="S8" s="4">
        <v>6117.6049999999996</v>
      </c>
      <c r="T8" s="4">
        <v>6017.799</v>
      </c>
      <c r="U8" s="4">
        <v>6311.473</v>
      </c>
      <c r="V8" s="4">
        <v>6648.7430000000004</v>
      </c>
      <c r="W8" s="4">
        <v>6569.5770000000002</v>
      </c>
      <c r="X8" s="4">
        <v>6375.8469999999998</v>
      </c>
      <c r="Y8" s="4">
        <v>6209.7470000000003</v>
      </c>
      <c r="Z8" s="4">
        <v>5487.4520000000002</v>
      </c>
      <c r="AA8" s="4">
        <v>5969.8130000000001</v>
      </c>
      <c r="AB8" s="4">
        <v>6156.5050000000001</v>
      </c>
      <c r="AC8" s="4">
        <v>6294.1379999999999</v>
      </c>
      <c r="AD8" s="4">
        <v>5818.1149999999998</v>
      </c>
      <c r="AE8" s="4">
        <v>5676.8689999999997</v>
      </c>
      <c r="AF8" s="4">
        <v>5980.4870000000001</v>
      </c>
      <c r="AG8" s="6">
        <v>6374.4</v>
      </c>
      <c r="AH8" s="4">
        <v>5821.192</v>
      </c>
      <c r="AI8" s="4">
        <v>5367.1170000000002</v>
      </c>
      <c r="AJ8" s="4">
        <v>5259.7950000000001</v>
      </c>
    </row>
    <row r="9" spans="1:36" x14ac:dyDescent="0.35">
      <c r="A9" s="2" t="s">
        <v>44</v>
      </c>
      <c r="B9" s="3">
        <v>17829.287</v>
      </c>
      <c r="C9" s="3">
        <v>20471.601999999999</v>
      </c>
      <c r="D9" s="3">
        <v>20843.784</v>
      </c>
      <c r="E9" s="3">
        <v>24414.075000000001</v>
      </c>
      <c r="F9" s="3">
        <v>23091.131000000001</v>
      </c>
      <c r="G9" s="3">
        <v>22656.785</v>
      </c>
      <c r="H9" s="5">
        <v>23023</v>
      </c>
      <c r="I9" s="3">
        <v>21706.328000000001</v>
      </c>
      <c r="J9" s="3">
        <v>19533.172999999999</v>
      </c>
      <c r="K9" s="3">
        <v>19438.526000000002</v>
      </c>
      <c r="L9" s="5">
        <v>17207.79</v>
      </c>
      <c r="M9" s="3">
        <v>18812.526999999998</v>
      </c>
      <c r="N9" s="3">
        <v>18694.218000000001</v>
      </c>
      <c r="O9" s="3">
        <v>18795.904999999999</v>
      </c>
      <c r="P9" s="3">
        <v>18831.674999999999</v>
      </c>
      <c r="Q9" s="3">
        <v>19469.163</v>
      </c>
      <c r="R9" s="3">
        <v>20469.407999999999</v>
      </c>
      <c r="S9" s="3">
        <v>19366.034</v>
      </c>
      <c r="T9" s="3">
        <v>19668.123</v>
      </c>
      <c r="U9" s="3">
        <v>19991.704000000002</v>
      </c>
      <c r="V9" s="5">
        <v>22003.32</v>
      </c>
      <c r="W9" s="3">
        <v>20130.182000000001</v>
      </c>
      <c r="X9" s="3">
        <v>20812.928</v>
      </c>
      <c r="Y9" s="3">
        <v>20492.305</v>
      </c>
      <c r="Z9" s="3">
        <v>19034.846000000001</v>
      </c>
      <c r="AA9" s="3">
        <v>19032.460999999999</v>
      </c>
      <c r="AB9" s="3">
        <v>19886.302</v>
      </c>
      <c r="AC9" s="3">
        <v>20063.177</v>
      </c>
      <c r="AD9" s="3">
        <v>22557.492999999999</v>
      </c>
      <c r="AE9" s="3">
        <v>20993.899000000001</v>
      </c>
      <c r="AF9" s="3">
        <v>21101.347000000002</v>
      </c>
      <c r="AG9" s="3">
        <v>22130.789000000001</v>
      </c>
      <c r="AH9" s="3">
        <v>20492.124</v>
      </c>
      <c r="AI9" s="3">
        <v>19920.949000000001</v>
      </c>
      <c r="AJ9" s="3">
        <v>19636.597000000002</v>
      </c>
    </row>
    <row r="10" spans="1:36" x14ac:dyDescent="0.35">
      <c r="A10" s="2" t="s">
        <v>45</v>
      </c>
      <c r="B10" s="4">
        <v>10478.499</v>
      </c>
      <c r="C10" s="4">
        <v>7194.4350000000004</v>
      </c>
      <c r="D10" s="4">
        <v>6259.509</v>
      </c>
      <c r="E10" s="4">
        <v>6606.7669999999998</v>
      </c>
      <c r="F10" s="4">
        <v>6398.1779999999999</v>
      </c>
      <c r="G10" s="4">
        <v>6335.8140000000003</v>
      </c>
      <c r="H10" s="4">
        <v>8110.6440000000002</v>
      </c>
      <c r="I10" s="4">
        <v>9656.902</v>
      </c>
      <c r="J10" s="4">
        <v>9506.5910000000003</v>
      </c>
      <c r="K10" s="4">
        <v>8749.4169999999995</v>
      </c>
      <c r="L10" s="4">
        <v>8417.5859999999993</v>
      </c>
      <c r="M10" s="4">
        <v>7286.8540000000003</v>
      </c>
      <c r="N10" s="4">
        <v>7226.183</v>
      </c>
      <c r="O10" s="4">
        <v>7829.9470000000001</v>
      </c>
      <c r="P10" s="4">
        <v>7972.4369999999999</v>
      </c>
      <c r="Q10" s="6">
        <v>7991.34</v>
      </c>
      <c r="R10" s="4">
        <v>7854.7169999999996</v>
      </c>
      <c r="S10" s="4">
        <v>7519.2560000000003</v>
      </c>
      <c r="T10" s="4">
        <v>8070.2139999999999</v>
      </c>
      <c r="U10" s="4">
        <v>8015.1790000000001</v>
      </c>
      <c r="V10" s="4">
        <v>8102.009</v>
      </c>
      <c r="W10" s="4">
        <v>7859.6779999999999</v>
      </c>
      <c r="X10" s="4">
        <v>8060.5820000000003</v>
      </c>
      <c r="Y10" s="6">
        <v>7721.97</v>
      </c>
      <c r="Z10" s="4">
        <v>7409.6809999999996</v>
      </c>
      <c r="AA10" s="4">
        <v>7375.183</v>
      </c>
      <c r="AB10" s="6">
        <v>7414.92</v>
      </c>
      <c r="AC10" s="4">
        <v>7732.0379999999996</v>
      </c>
      <c r="AD10" s="6">
        <v>7775.08</v>
      </c>
      <c r="AE10" s="4">
        <v>7753.2830000000004</v>
      </c>
      <c r="AF10" s="4">
        <v>8007.4260000000004</v>
      </c>
      <c r="AG10" s="4">
        <v>8764.8709999999992</v>
      </c>
      <c r="AH10" s="4">
        <v>7894.6989999999996</v>
      </c>
      <c r="AI10" s="4">
        <v>7552.174</v>
      </c>
      <c r="AJ10" s="4">
        <v>7434.1170000000002</v>
      </c>
    </row>
    <row r="11" spans="1:36" x14ac:dyDescent="0.35">
      <c r="A11" s="2" t="s">
        <v>46</v>
      </c>
      <c r="B11" s="3">
        <v>953.34699999999998</v>
      </c>
      <c r="C11" s="3">
        <v>1134.819</v>
      </c>
      <c r="D11" s="3">
        <v>1011.722</v>
      </c>
      <c r="E11" s="3">
        <v>1101.0650000000001</v>
      </c>
      <c r="F11" s="3">
        <v>1093.883</v>
      </c>
      <c r="G11" s="3">
        <v>1163.921</v>
      </c>
      <c r="H11" s="3">
        <v>1033.136</v>
      </c>
      <c r="I11" s="3">
        <v>1070.152</v>
      </c>
      <c r="J11" s="3">
        <v>1030.2349999999999</v>
      </c>
      <c r="K11" s="3">
        <v>1054.162</v>
      </c>
      <c r="L11" s="3">
        <v>1242.4390000000001</v>
      </c>
      <c r="M11" s="3">
        <v>1329.405</v>
      </c>
      <c r="N11" s="3">
        <v>1287.778</v>
      </c>
      <c r="O11" s="3">
        <v>1407.539</v>
      </c>
      <c r="P11" s="3">
        <v>1381.173</v>
      </c>
      <c r="Q11" s="3">
        <v>1428.8409999999999</v>
      </c>
      <c r="R11" s="3">
        <v>1334.1279999999999</v>
      </c>
      <c r="S11" s="3">
        <v>1301.5050000000001</v>
      </c>
      <c r="T11" s="3">
        <v>1354.0450000000001</v>
      </c>
      <c r="U11" s="3">
        <v>1320.1959999999999</v>
      </c>
      <c r="V11" s="3">
        <v>1363.866</v>
      </c>
      <c r="W11" s="3">
        <v>1299.105</v>
      </c>
      <c r="X11" s="3">
        <v>1251.7629999999999</v>
      </c>
      <c r="Y11" s="5">
        <v>1238.44</v>
      </c>
      <c r="Z11" s="3">
        <v>1060.348</v>
      </c>
      <c r="AA11" s="3">
        <v>1172.4760000000001</v>
      </c>
      <c r="AB11" s="3">
        <v>1196.3240000000001</v>
      </c>
      <c r="AC11" s="3">
        <v>1171.3810000000001</v>
      </c>
      <c r="AD11" s="3">
        <v>1101.3969999999999</v>
      </c>
      <c r="AE11" s="5">
        <v>1076.8499999999999</v>
      </c>
      <c r="AF11" s="3">
        <v>1091.3330000000001</v>
      </c>
      <c r="AG11" s="3">
        <v>1162.0889999999999</v>
      </c>
      <c r="AH11" s="3">
        <v>1052.3489999999999</v>
      </c>
      <c r="AI11" s="3">
        <v>1040.915</v>
      </c>
      <c r="AJ11" s="3">
        <v>1033.1669999999999</v>
      </c>
    </row>
    <row r="12" spans="1:36" x14ac:dyDescent="0.35">
      <c r="A12" s="2" t="s">
        <v>47</v>
      </c>
      <c r="B12" s="4">
        <v>2246.498</v>
      </c>
      <c r="C12" s="4">
        <v>1888.877</v>
      </c>
      <c r="D12" s="4">
        <v>1767.1020000000001</v>
      </c>
      <c r="E12" s="4">
        <v>1720.807</v>
      </c>
      <c r="F12" s="4">
        <v>1771.655</v>
      </c>
      <c r="G12" s="4">
        <v>1976.7560000000001</v>
      </c>
      <c r="H12" s="4">
        <v>2232.7460000000001</v>
      </c>
      <c r="I12" s="4">
        <v>2362.268</v>
      </c>
      <c r="J12" s="4">
        <v>2448.105</v>
      </c>
      <c r="K12" s="4">
        <v>2568.7170000000001</v>
      </c>
      <c r="L12" s="4">
        <v>2586.241</v>
      </c>
      <c r="M12" s="4">
        <v>3082.6439999999998</v>
      </c>
      <c r="N12" s="4">
        <v>2997.922</v>
      </c>
      <c r="O12" s="4">
        <v>2839.5830000000001</v>
      </c>
      <c r="P12" s="4">
        <v>2666.5059999999999</v>
      </c>
      <c r="Q12" s="4">
        <v>2540.462</v>
      </c>
      <c r="R12" s="4">
        <v>2310.145</v>
      </c>
      <c r="S12" s="4">
        <v>2080.7020000000002</v>
      </c>
      <c r="T12" s="4">
        <v>2130.6869999999999</v>
      </c>
      <c r="U12" s="4">
        <v>2147.4929999999999</v>
      </c>
      <c r="V12" s="4">
        <v>3028.239</v>
      </c>
      <c r="W12" s="4">
        <v>2790.8220000000001</v>
      </c>
      <c r="X12" s="4">
        <v>2820.587</v>
      </c>
      <c r="Y12" s="4">
        <v>2842.7350000000001</v>
      </c>
      <c r="Z12" s="4">
        <v>2325.0369999999998</v>
      </c>
      <c r="AA12" s="4">
        <v>2573.288</v>
      </c>
      <c r="AB12" s="4">
        <v>2688.692</v>
      </c>
      <c r="AC12" s="4">
        <v>2744.1619999999998</v>
      </c>
      <c r="AD12" s="4">
        <v>2546.0070000000001</v>
      </c>
      <c r="AE12" s="4">
        <v>2637.6790000000001</v>
      </c>
      <c r="AF12" s="4">
        <v>2744.5709999999999</v>
      </c>
      <c r="AG12" s="4">
        <v>2966.3139999999999</v>
      </c>
      <c r="AH12" s="4">
        <v>2686.5129999999999</v>
      </c>
      <c r="AI12" s="4">
        <v>2425.4679999999998</v>
      </c>
      <c r="AJ12" s="4">
        <v>2299.8820000000001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"/>
  <sheetViews>
    <sheetView workbookViewId="0">
      <pane xSplit="1" ySplit="1" topLeftCell="B2" activePane="bottomRight" state="frozen"/>
      <selection pane="topRight"/>
      <selection pane="bottomLeft"/>
      <selection pane="bottomRight" sqref="A1:XFD12"/>
    </sheetView>
  </sheetViews>
  <sheetFormatPr defaultRowHeight="11.4" customHeight="1" x14ac:dyDescent="0.35"/>
  <cols>
    <col min="1" max="1" width="11.90625" customWidth="1"/>
    <col min="2" max="36" width="10" customWidth="1"/>
  </cols>
  <sheetData>
    <row r="1" spans="1:36" x14ac:dyDescent="0.35">
      <c r="A1" s="1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</row>
    <row r="2" spans="1:36" x14ac:dyDescent="0.35">
      <c r="A2" s="2" t="s">
        <v>37</v>
      </c>
      <c r="B2" s="4">
        <v>789.03899999999999</v>
      </c>
      <c r="C2" s="4">
        <v>687.75699999999995</v>
      </c>
      <c r="D2" s="6">
        <v>498.05</v>
      </c>
      <c r="E2" s="4">
        <v>409.39100000000002</v>
      </c>
      <c r="F2" s="4">
        <v>436.97199999999998</v>
      </c>
      <c r="G2" s="4">
        <v>384.91300000000001</v>
      </c>
      <c r="H2" s="4">
        <v>418.58199999999999</v>
      </c>
      <c r="I2" s="4">
        <v>316.06900000000002</v>
      </c>
      <c r="J2" s="4">
        <v>290.69299999999998</v>
      </c>
      <c r="K2" s="4">
        <v>308.601</v>
      </c>
      <c r="L2" s="4">
        <v>313.66800000000001</v>
      </c>
      <c r="M2" s="4">
        <v>275.65800000000002</v>
      </c>
      <c r="N2" s="4">
        <v>279.94499999999999</v>
      </c>
      <c r="O2" s="4">
        <v>283.57799999999997</v>
      </c>
      <c r="P2" s="4">
        <v>276.45699999999999</v>
      </c>
      <c r="Q2" s="6">
        <v>303.99</v>
      </c>
      <c r="R2" s="4">
        <v>295.11200000000002</v>
      </c>
      <c r="S2" s="4">
        <v>266.59199999999998</v>
      </c>
      <c r="T2" s="6">
        <v>187.23</v>
      </c>
      <c r="U2" s="6">
        <v>183.13</v>
      </c>
      <c r="V2" s="4">
        <v>183.48099999999999</v>
      </c>
      <c r="W2" s="4">
        <v>203.369</v>
      </c>
      <c r="X2" s="4">
        <v>198.70500000000001</v>
      </c>
      <c r="Y2" s="4">
        <v>192.934</v>
      </c>
      <c r="Z2" s="4">
        <v>190.32599999999999</v>
      </c>
      <c r="AA2" s="4">
        <v>185.584</v>
      </c>
      <c r="AB2" s="6">
        <v>185.09</v>
      </c>
      <c r="AC2" s="4">
        <v>177.28800000000001</v>
      </c>
      <c r="AD2" s="4">
        <v>185.27500000000001</v>
      </c>
      <c r="AE2" s="4">
        <v>187.459</v>
      </c>
      <c r="AF2" s="4">
        <v>188.09299999999999</v>
      </c>
      <c r="AG2" s="4">
        <v>193.78299999999999</v>
      </c>
      <c r="AH2" s="4">
        <v>193.30600000000001</v>
      </c>
      <c r="AI2" s="4">
        <v>193.553</v>
      </c>
      <c r="AJ2" s="4">
        <v>189.52799999999999</v>
      </c>
    </row>
    <row r="3" spans="1:36" x14ac:dyDescent="0.35">
      <c r="A3" s="2" t="s">
        <v>38</v>
      </c>
      <c r="B3" s="3">
        <v>1534.588</v>
      </c>
      <c r="C3" s="3">
        <v>1479.347</v>
      </c>
      <c r="D3" s="3">
        <v>1162.5920000000001</v>
      </c>
      <c r="E3" s="3">
        <v>1108.702</v>
      </c>
      <c r="F3" s="3">
        <v>1103.942</v>
      </c>
      <c r="G3" s="3">
        <v>1232.374</v>
      </c>
      <c r="H3" s="3">
        <v>749.07600000000002</v>
      </c>
      <c r="I3" s="3">
        <v>581.88900000000001</v>
      </c>
      <c r="J3" s="3">
        <v>547.27599999999995</v>
      </c>
      <c r="K3" s="3">
        <v>652.30899999999997</v>
      </c>
      <c r="L3" s="3">
        <v>661.23400000000004</v>
      </c>
      <c r="M3" s="3">
        <v>606.16600000000005</v>
      </c>
      <c r="N3" s="3">
        <v>570.274</v>
      </c>
      <c r="O3" s="3">
        <v>562.70399999999995</v>
      </c>
      <c r="P3" s="3">
        <v>556.96100000000001</v>
      </c>
      <c r="Q3" s="3">
        <v>546.79300000000001</v>
      </c>
      <c r="R3" s="3">
        <v>560.29899999999998</v>
      </c>
      <c r="S3" s="3">
        <v>520.59900000000005</v>
      </c>
      <c r="T3" s="3">
        <v>520.35199999999998</v>
      </c>
      <c r="U3" s="3">
        <v>513.39200000000005</v>
      </c>
      <c r="V3" s="3">
        <v>546.02200000000005</v>
      </c>
      <c r="W3" s="3">
        <v>547.91200000000003</v>
      </c>
      <c r="X3" s="3">
        <v>563.45500000000004</v>
      </c>
      <c r="Y3" s="3">
        <v>609.85500000000002</v>
      </c>
      <c r="Z3" s="3">
        <v>615.14099999999996</v>
      </c>
      <c r="AA3" s="3">
        <v>606.83100000000002</v>
      </c>
      <c r="AB3" s="3">
        <v>640.61900000000003</v>
      </c>
      <c r="AC3" s="3">
        <v>639.48699999999997</v>
      </c>
      <c r="AD3" s="3">
        <v>620.35799999999995</v>
      </c>
      <c r="AE3" s="3">
        <v>635.27700000000004</v>
      </c>
      <c r="AF3" s="3">
        <v>637.87199999999996</v>
      </c>
      <c r="AG3" s="5">
        <v>642.03</v>
      </c>
      <c r="AH3" s="3">
        <v>613.16700000000003</v>
      </c>
      <c r="AI3" s="3">
        <v>601.90499999999997</v>
      </c>
      <c r="AJ3" s="3">
        <v>608.38300000000004</v>
      </c>
    </row>
    <row r="4" spans="1:36" x14ac:dyDescent="0.35">
      <c r="A4" s="2" t="s">
        <v>39</v>
      </c>
      <c r="B4" s="4">
        <v>678.072</v>
      </c>
      <c r="C4" s="4">
        <v>706.702</v>
      </c>
      <c r="D4" s="4">
        <v>400.20499999999998</v>
      </c>
      <c r="E4" s="4">
        <v>216.755</v>
      </c>
      <c r="F4" s="6">
        <v>104.35</v>
      </c>
      <c r="G4" s="4">
        <v>83.078999999999994</v>
      </c>
      <c r="H4" s="4">
        <v>98.715000000000003</v>
      </c>
      <c r="I4" s="4">
        <v>83.039000000000001</v>
      </c>
      <c r="J4" s="4">
        <v>86.879000000000005</v>
      </c>
      <c r="K4" s="4">
        <v>56.253999999999998</v>
      </c>
      <c r="L4" s="4">
        <v>58.095999999999997</v>
      </c>
      <c r="M4" s="4">
        <v>99.564999999999998</v>
      </c>
      <c r="N4" s="6">
        <v>108.8</v>
      </c>
      <c r="O4" s="4">
        <v>113.202</v>
      </c>
      <c r="P4" s="4">
        <v>103.693</v>
      </c>
      <c r="Q4" s="4">
        <v>103.226</v>
      </c>
      <c r="R4" s="4">
        <v>97.724000000000004</v>
      </c>
      <c r="S4" s="4">
        <v>92.933999999999997</v>
      </c>
      <c r="T4" s="6">
        <v>94.87</v>
      </c>
      <c r="U4" s="4">
        <v>92.706000000000003</v>
      </c>
      <c r="V4" s="4">
        <v>94.778999999999996</v>
      </c>
      <c r="W4" s="4">
        <v>108.17700000000001</v>
      </c>
      <c r="X4" s="4">
        <v>110.044</v>
      </c>
      <c r="Y4" s="4">
        <v>109.435</v>
      </c>
      <c r="Z4" s="4">
        <v>130.375</v>
      </c>
      <c r="AA4" s="6">
        <v>131.79</v>
      </c>
      <c r="AB4" s="6">
        <v>129.72999999999999</v>
      </c>
      <c r="AC4" s="4">
        <v>131.65700000000001</v>
      </c>
      <c r="AD4" s="4">
        <v>124.184</v>
      </c>
      <c r="AE4" s="4">
        <v>112.79600000000001</v>
      </c>
      <c r="AF4" s="4">
        <v>109.366</v>
      </c>
      <c r="AG4" s="4">
        <v>88.114000000000004</v>
      </c>
      <c r="AH4" s="4">
        <v>96.825999999999993</v>
      </c>
      <c r="AI4" s="4">
        <v>81.731999999999999</v>
      </c>
      <c r="AJ4" s="4">
        <v>36.865000000000002</v>
      </c>
    </row>
    <row r="5" spans="1:36" x14ac:dyDescent="0.35">
      <c r="A5" s="2" t="s">
        <v>40</v>
      </c>
      <c r="B5" s="3">
        <v>437.81099999999998</v>
      </c>
      <c r="C5" s="3">
        <v>283.24400000000003</v>
      </c>
      <c r="D5" s="3">
        <v>281.33100000000002</v>
      </c>
      <c r="E5" s="3">
        <v>275.71600000000001</v>
      </c>
      <c r="F5" s="3">
        <v>253.48599999999999</v>
      </c>
      <c r="G5" s="3">
        <v>253.96600000000001</v>
      </c>
      <c r="H5" s="3">
        <v>261.108</v>
      </c>
      <c r="I5" s="3">
        <v>262.30399999999997</v>
      </c>
      <c r="J5" s="3">
        <v>277.709</v>
      </c>
      <c r="K5" s="3">
        <v>266.517</v>
      </c>
      <c r="L5" s="3">
        <v>265.49099999999999</v>
      </c>
      <c r="M5" s="3">
        <v>246.45599999999999</v>
      </c>
      <c r="N5" s="3">
        <v>226.04400000000001</v>
      </c>
      <c r="O5" s="3">
        <v>229.447</v>
      </c>
      <c r="P5" s="3">
        <v>212.42500000000001</v>
      </c>
      <c r="Q5" s="3">
        <v>217.51300000000001</v>
      </c>
      <c r="R5" s="3">
        <v>219.21700000000001</v>
      </c>
      <c r="S5" s="3">
        <v>213.97399999999999</v>
      </c>
      <c r="T5" s="3">
        <v>227.89500000000001</v>
      </c>
      <c r="U5" s="3">
        <v>223.626</v>
      </c>
      <c r="V5" s="3">
        <v>219.994</v>
      </c>
      <c r="W5" s="5">
        <v>224.35</v>
      </c>
      <c r="X5" s="3">
        <v>207.34399999999999</v>
      </c>
      <c r="Y5" s="3">
        <v>204.149</v>
      </c>
      <c r="Z5" s="3">
        <v>212.386</v>
      </c>
      <c r="AA5" s="3">
        <v>209.893</v>
      </c>
      <c r="AB5" s="3">
        <v>212.89599999999999</v>
      </c>
      <c r="AC5" s="3">
        <v>211.762</v>
      </c>
      <c r="AD5" s="3">
        <v>218.05099999999999</v>
      </c>
      <c r="AE5" s="5">
        <v>220.99</v>
      </c>
      <c r="AF5" s="3">
        <v>233.68199999999999</v>
      </c>
      <c r="AG5" s="3">
        <v>233.858</v>
      </c>
      <c r="AH5" s="3">
        <v>238.27199999999999</v>
      </c>
      <c r="AI5" s="3">
        <v>234.62799999999999</v>
      </c>
      <c r="AJ5" s="5">
        <v>244.59</v>
      </c>
    </row>
    <row r="6" spans="1:36" x14ac:dyDescent="0.35">
      <c r="A6" s="2" t="s">
        <v>41</v>
      </c>
      <c r="B6" s="4">
        <v>574.74300000000005</v>
      </c>
      <c r="C6" s="4">
        <v>484.322</v>
      </c>
      <c r="D6" s="6">
        <v>322.8</v>
      </c>
      <c r="E6" s="4">
        <v>249.08600000000001</v>
      </c>
      <c r="F6" s="4">
        <v>188.37700000000001</v>
      </c>
      <c r="G6" s="4">
        <v>124.09099999999999</v>
      </c>
      <c r="H6" s="4">
        <v>123.908</v>
      </c>
      <c r="I6" s="4">
        <v>122.91500000000001</v>
      </c>
      <c r="J6" s="4">
        <v>112.539</v>
      </c>
      <c r="K6" s="4">
        <v>104.431</v>
      </c>
      <c r="L6" s="4">
        <v>100.261</v>
      </c>
      <c r="M6" s="4">
        <v>102.57599999999999</v>
      </c>
      <c r="N6" s="4">
        <v>103.381</v>
      </c>
      <c r="O6" s="4">
        <v>111.471</v>
      </c>
      <c r="P6" s="4">
        <v>124.78700000000001</v>
      </c>
      <c r="Q6" s="4">
        <v>126.36199999999999</v>
      </c>
      <c r="R6" s="4">
        <v>135.62700000000001</v>
      </c>
      <c r="S6" s="4">
        <v>142.839</v>
      </c>
      <c r="T6" s="4">
        <v>120.895</v>
      </c>
      <c r="U6" s="4">
        <v>129.90799999999999</v>
      </c>
      <c r="V6" s="4">
        <v>145.221</v>
      </c>
      <c r="W6" s="4">
        <v>141.02699999999999</v>
      </c>
      <c r="X6" s="4">
        <v>142.226</v>
      </c>
      <c r="Y6" s="4">
        <v>147.703</v>
      </c>
      <c r="Z6" s="4">
        <v>146.05500000000001</v>
      </c>
      <c r="AA6" s="4">
        <v>155.46100000000001</v>
      </c>
      <c r="AB6" s="4">
        <v>167.42599999999999</v>
      </c>
      <c r="AC6" s="4">
        <v>185.09700000000001</v>
      </c>
      <c r="AD6" s="4">
        <v>180.684</v>
      </c>
      <c r="AE6" s="4">
        <v>201.63200000000001</v>
      </c>
      <c r="AF6" s="4">
        <v>205.03299999999999</v>
      </c>
      <c r="AG6" s="4">
        <v>191.60599999999999</v>
      </c>
      <c r="AH6" s="4">
        <v>193.21899999999999</v>
      </c>
      <c r="AI6" s="4">
        <v>188.89699999999999</v>
      </c>
      <c r="AJ6" s="4">
        <v>203.75800000000001</v>
      </c>
    </row>
    <row r="7" spans="1:36" x14ac:dyDescent="0.35">
      <c r="A7" s="2" t="s">
        <v>42</v>
      </c>
      <c r="B7" s="3">
        <v>797.38599999999997</v>
      </c>
      <c r="C7" s="5">
        <v>686.4</v>
      </c>
      <c r="D7" s="3">
        <v>430.13299999999998</v>
      </c>
      <c r="E7" s="3">
        <v>294.04899999999998</v>
      </c>
      <c r="F7" s="3">
        <v>234.339</v>
      </c>
      <c r="G7" s="5">
        <v>203.59</v>
      </c>
      <c r="H7" s="3">
        <v>203.93899999999999</v>
      </c>
      <c r="I7" s="5">
        <v>176.6</v>
      </c>
      <c r="J7" s="5">
        <v>161.41999999999999</v>
      </c>
      <c r="K7" s="3">
        <v>113.175</v>
      </c>
      <c r="L7" s="3">
        <v>99.543000000000006</v>
      </c>
      <c r="M7" s="3">
        <v>98.899000000000001</v>
      </c>
      <c r="N7" s="5">
        <v>100.66</v>
      </c>
      <c r="O7" s="3">
        <v>101.813</v>
      </c>
      <c r="P7" s="3">
        <v>105.248</v>
      </c>
      <c r="Q7" s="5">
        <v>104.3</v>
      </c>
      <c r="R7" s="3">
        <v>110.358</v>
      </c>
      <c r="S7" s="3">
        <v>117.416</v>
      </c>
      <c r="T7" s="3">
        <v>113.59099999999999</v>
      </c>
      <c r="U7" s="3">
        <v>102.41800000000001</v>
      </c>
      <c r="V7" s="3">
        <v>109.277</v>
      </c>
      <c r="W7" s="3">
        <v>108.649</v>
      </c>
      <c r="X7" s="3">
        <v>108.517</v>
      </c>
      <c r="Y7" s="3">
        <v>104.18899999999999</v>
      </c>
      <c r="Z7" s="3">
        <v>103.88200000000001</v>
      </c>
      <c r="AA7" s="5">
        <v>97.73</v>
      </c>
      <c r="AB7" s="3">
        <v>104.348</v>
      </c>
      <c r="AC7" s="5">
        <v>109.24</v>
      </c>
      <c r="AD7" s="3">
        <v>107.65600000000001</v>
      </c>
      <c r="AE7" s="3">
        <v>110.69199999999999</v>
      </c>
      <c r="AF7" s="3">
        <v>113.70399999999999</v>
      </c>
      <c r="AG7" s="3">
        <v>121.754</v>
      </c>
      <c r="AH7" s="3">
        <v>126.36499999999999</v>
      </c>
      <c r="AI7" s="3">
        <v>114.20399999999999</v>
      </c>
      <c r="AJ7" s="3">
        <v>291.88600000000002</v>
      </c>
    </row>
    <row r="8" spans="1:36" x14ac:dyDescent="0.35">
      <c r="A8" s="2" t="s">
        <v>43</v>
      </c>
      <c r="B8" s="4">
        <v>1137.0509999999999</v>
      </c>
      <c r="C8" s="4">
        <v>959.72400000000005</v>
      </c>
      <c r="D8" s="4">
        <v>757.63499999999999</v>
      </c>
      <c r="E8" s="4">
        <v>671.52200000000005</v>
      </c>
      <c r="F8" s="6">
        <v>683.49</v>
      </c>
      <c r="G8" s="4">
        <v>664.351</v>
      </c>
      <c r="H8" s="4">
        <v>710.35500000000002</v>
      </c>
      <c r="I8" s="6">
        <v>692.92</v>
      </c>
      <c r="J8" s="4">
        <v>710.06899999999996</v>
      </c>
      <c r="K8" s="4">
        <v>722.58199999999999</v>
      </c>
      <c r="L8" s="6">
        <v>670.22</v>
      </c>
      <c r="M8" s="4">
        <v>632.88900000000001</v>
      </c>
      <c r="N8" s="4">
        <v>653.78700000000003</v>
      </c>
      <c r="O8" s="4">
        <v>616.17200000000003</v>
      </c>
      <c r="P8" s="6">
        <v>586.64</v>
      </c>
      <c r="Q8" s="6">
        <v>560.52</v>
      </c>
      <c r="R8" s="4">
        <v>550.37900000000002</v>
      </c>
      <c r="S8" s="4">
        <v>498.36200000000002</v>
      </c>
      <c r="T8" s="4">
        <v>526.75800000000004</v>
      </c>
      <c r="U8" s="6">
        <v>441.29</v>
      </c>
      <c r="V8" s="4">
        <v>487.46600000000001</v>
      </c>
      <c r="W8" s="4">
        <v>482.62900000000002</v>
      </c>
      <c r="X8" s="4">
        <v>398.23099999999999</v>
      </c>
      <c r="Y8" s="4">
        <v>520.85500000000002</v>
      </c>
      <c r="Z8" s="4">
        <v>593.05700000000002</v>
      </c>
      <c r="AA8" s="6">
        <v>576.48</v>
      </c>
      <c r="AB8" s="4">
        <v>646.94299999999998</v>
      </c>
      <c r="AC8" s="4">
        <v>608.39599999999996</v>
      </c>
      <c r="AD8" s="6">
        <v>647.17999999999995</v>
      </c>
      <c r="AE8" s="4">
        <v>672.84299999999996</v>
      </c>
      <c r="AF8" s="4">
        <v>703.44399999999996</v>
      </c>
      <c r="AG8" s="4">
        <v>665.96699999999998</v>
      </c>
      <c r="AH8" s="4">
        <v>596.72199999999998</v>
      </c>
      <c r="AI8" s="4">
        <v>565.94200000000001</v>
      </c>
      <c r="AJ8" s="4">
        <v>539.52300000000002</v>
      </c>
    </row>
    <row r="9" spans="1:36" x14ac:dyDescent="0.35">
      <c r="A9" s="2" t="s">
        <v>44</v>
      </c>
      <c r="B9" s="3">
        <v>3392.5889999999999</v>
      </c>
      <c r="C9" s="3">
        <v>3679.2530000000002</v>
      </c>
      <c r="D9" s="3">
        <v>3867.2289999999998</v>
      </c>
      <c r="E9" s="3">
        <v>4736.2120000000004</v>
      </c>
      <c r="F9" s="3">
        <v>4976.6220000000003</v>
      </c>
      <c r="G9" s="3">
        <v>4788.9009999999998</v>
      </c>
      <c r="H9" s="3">
        <v>4973.241</v>
      </c>
      <c r="I9" s="3">
        <v>5163.8130000000001</v>
      </c>
      <c r="J9" s="3">
        <v>4741.7470000000003</v>
      </c>
      <c r="K9" s="3">
        <v>4836.8909999999996</v>
      </c>
      <c r="L9" s="3">
        <v>4645.5079999999998</v>
      </c>
      <c r="M9" s="5">
        <v>4608.6899999999996</v>
      </c>
      <c r="N9" s="3">
        <v>4379.6189999999997</v>
      </c>
      <c r="O9" s="3">
        <v>4191.6260000000002</v>
      </c>
      <c r="P9" s="3">
        <v>4300.884</v>
      </c>
      <c r="Q9" s="3">
        <v>4438.0690000000004</v>
      </c>
      <c r="R9" s="3">
        <v>3819.3180000000002</v>
      </c>
      <c r="S9" s="3">
        <v>3510.8040000000001</v>
      </c>
      <c r="T9" s="3">
        <v>3639.9580000000001</v>
      </c>
      <c r="U9" s="3">
        <v>3571.6390000000001</v>
      </c>
      <c r="V9" s="5">
        <v>3730.31</v>
      </c>
      <c r="W9" s="3">
        <v>3679.665</v>
      </c>
      <c r="X9" s="3">
        <v>3666.4769999999999</v>
      </c>
      <c r="Y9" s="3">
        <v>3578.3069999999998</v>
      </c>
      <c r="Z9" s="3">
        <v>3420.8820000000001</v>
      </c>
      <c r="AA9" s="3">
        <v>3329.9349999999999</v>
      </c>
      <c r="AB9" s="3">
        <v>3537.569</v>
      </c>
      <c r="AC9" s="3">
        <v>3881.0079999999998</v>
      </c>
      <c r="AD9" s="3">
        <v>3918.9369999999999</v>
      </c>
      <c r="AE9" s="3">
        <v>3813.4009999999998</v>
      </c>
      <c r="AF9" s="3">
        <v>3867.8850000000002</v>
      </c>
      <c r="AG9" s="3">
        <v>3834.6149999999998</v>
      </c>
      <c r="AH9" s="3">
        <v>3302.5340000000001</v>
      </c>
      <c r="AI9" s="3">
        <v>3576.038</v>
      </c>
      <c r="AJ9" s="3">
        <v>3096.913</v>
      </c>
    </row>
    <row r="10" spans="1:36" x14ac:dyDescent="0.35">
      <c r="A10" s="2" t="s">
        <v>45</v>
      </c>
      <c r="B10" s="4">
        <v>2260.3530000000001</v>
      </c>
      <c r="C10" s="4">
        <v>2330.4389999999999</v>
      </c>
      <c r="D10" s="4">
        <v>1422.8309999999999</v>
      </c>
      <c r="E10" s="4">
        <v>1156.4670000000001</v>
      </c>
      <c r="F10" s="4">
        <v>812.72400000000005</v>
      </c>
      <c r="G10" s="4">
        <v>1004.686</v>
      </c>
      <c r="H10" s="6">
        <v>848.02</v>
      </c>
      <c r="I10" s="4">
        <v>916.91099999999994</v>
      </c>
      <c r="J10" s="4">
        <v>776.61199999999997</v>
      </c>
      <c r="K10" s="4">
        <v>467.94799999999998</v>
      </c>
      <c r="L10" s="4">
        <v>398.089</v>
      </c>
      <c r="M10" s="4">
        <v>288.51499999999999</v>
      </c>
      <c r="N10" s="4">
        <v>278.553</v>
      </c>
      <c r="O10" s="4">
        <v>242.15299999999999</v>
      </c>
      <c r="P10" s="4">
        <v>231.90199999999999</v>
      </c>
      <c r="Q10" s="4">
        <v>214.81899999999999</v>
      </c>
      <c r="R10" s="4">
        <v>261.43700000000001</v>
      </c>
      <c r="S10" s="4">
        <v>261.07900000000001</v>
      </c>
      <c r="T10" s="4">
        <v>293.47699999999998</v>
      </c>
      <c r="U10" s="4">
        <v>380.37599999999998</v>
      </c>
      <c r="V10" s="4">
        <v>392.827</v>
      </c>
      <c r="W10" s="4">
        <v>434.68900000000002</v>
      </c>
      <c r="X10" s="4">
        <v>497.76499999999999</v>
      </c>
      <c r="Y10" s="4">
        <v>469.33499999999998</v>
      </c>
      <c r="Z10" s="4">
        <v>420.892</v>
      </c>
      <c r="AA10" s="4">
        <v>458.59100000000001</v>
      </c>
      <c r="AB10" s="4">
        <v>453.30500000000001</v>
      </c>
      <c r="AC10" s="4">
        <v>495.78399999999999</v>
      </c>
      <c r="AD10" s="4">
        <v>565.82799999999997</v>
      </c>
      <c r="AE10" s="4">
        <v>557.15099999999995</v>
      </c>
      <c r="AF10" s="4">
        <v>530.67100000000005</v>
      </c>
      <c r="AG10" s="4">
        <v>566.58199999999999</v>
      </c>
      <c r="AH10" s="4">
        <v>554.83100000000002</v>
      </c>
      <c r="AI10" s="4">
        <v>539.30899999999997</v>
      </c>
      <c r="AJ10" s="4">
        <v>523.82500000000005</v>
      </c>
    </row>
    <row r="11" spans="1:36" x14ac:dyDescent="0.35">
      <c r="A11" s="2" t="s">
        <v>46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72.92</v>
      </c>
      <c r="K11" s="5">
        <v>72.92</v>
      </c>
      <c r="L11" s="5">
        <v>78.209999999999994</v>
      </c>
      <c r="M11" s="3">
        <v>77.183000000000007</v>
      </c>
      <c r="N11" s="3">
        <v>76.156000000000006</v>
      </c>
      <c r="O11" s="3">
        <v>79.236999999999995</v>
      </c>
      <c r="P11" s="3">
        <v>74.070999999999998</v>
      </c>
      <c r="Q11" s="3">
        <v>75.097999999999999</v>
      </c>
      <c r="R11" s="3">
        <v>75.412999999999997</v>
      </c>
      <c r="S11" s="3">
        <v>74.396000000000001</v>
      </c>
      <c r="T11" s="3">
        <v>76.430999999999997</v>
      </c>
      <c r="U11" s="3">
        <v>66.256</v>
      </c>
      <c r="V11" s="3">
        <v>69.542000000000002</v>
      </c>
      <c r="W11" s="3">
        <v>67.507000000000005</v>
      </c>
      <c r="X11" s="3">
        <v>71.013999999999996</v>
      </c>
      <c r="Y11" s="3">
        <v>69.998000000000005</v>
      </c>
      <c r="Z11" s="3">
        <v>75.287000000000006</v>
      </c>
      <c r="AA11" s="3">
        <v>74.165999999999997</v>
      </c>
      <c r="AB11" s="3">
        <v>73.381</v>
      </c>
      <c r="AC11" s="3">
        <v>72.918999999999997</v>
      </c>
      <c r="AD11" s="3">
        <v>74.521000000000001</v>
      </c>
      <c r="AE11" s="3">
        <v>73.245000000000005</v>
      </c>
      <c r="AF11" s="3">
        <v>71.936999999999998</v>
      </c>
      <c r="AG11" s="3">
        <v>73.566999999999993</v>
      </c>
      <c r="AH11" s="3">
        <v>73.953999999999994</v>
      </c>
      <c r="AI11" s="3">
        <v>73.843999999999994</v>
      </c>
      <c r="AJ11" s="3">
        <v>72.850999999999999</v>
      </c>
    </row>
    <row r="12" spans="1:36" x14ac:dyDescent="0.35">
      <c r="A12" s="2" t="s">
        <v>47</v>
      </c>
      <c r="B12" s="4">
        <v>708.89400000000001</v>
      </c>
      <c r="C12" s="4">
        <v>513.78099999999995</v>
      </c>
      <c r="D12" s="6">
        <v>415.37</v>
      </c>
      <c r="E12" s="4">
        <v>499.33300000000003</v>
      </c>
      <c r="F12" s="4">
        <v>315.14100000000002</v>
      </c>
      <c r="G12" s="4">
        <v>301.56700000000001</v>
      </c>
      <c r="H12" s="4">
        <v>287.00200000000001</v>
      </c>
      <c r="I12" s="4">
        <v>310.42700000000002</v>
      </c>
      <c r="J12" s="4">
        <v>259.52300000000002</v>
      </c>
      <c r="K12" s="6">
        <v>227.24</v>
      </c>
      <c r="L12" s="4">
        <v>207.017</v>
      </c>
      <c r="M12" s="4">
        <v>180.98400000000001</v>
      </c>
      <c r="N12" s="4">
        <v>149.41300000000001</v>
      </c>
      <c r="O12" s="4">
        <v>159.184</v>
      </c>
      <c r="P12" s="4">
        <v>161.773</v>
      </c>
      <c r="Q12" s="4">
        <v>165.358</v>
      </c>
      <c r="R12" s="4">
        <v>142.124</v>
      </c>
      <c r="S12" s="4">
        <v>136.72200000000001</v>
      </c>
      <c r="T12" s="4">
        <v>140.79300000000001</v>
      </c>
      <c r="U12" s="4">
        <v>130.01900000000001</v>
      </c>
      <c r="V12" s="4">
        <v>134.64099999999999</v>
      </c>
      <c r="W12" s="6">
        <v>157.65</v>
      </c>
      <c r="X12" s="4">
        <v>143.477</v>
      </c>
      <c r="Y12" s="4">
        <v>131.05600000000001</v>
      </c>
      <c r="Z12" s="4">
        <v>137.209</v>
      </c>
      <c r="AA12" s="4">
        <v>150.297</v>
      </c>
      <c r="AB12" s="4">
        <v>148.74299999999999</v>
      </c>
      <c r="AC12" s="4">
        <v>142.55199999999999</v>
      </c>
      <c r="AD12" s="6">
        <v>132.68</v>
      </c>
      <c r="AE12" s="6">
        <v>129.36000000000001</v>
      </c>
      <c r="AF12" s="6">
        <v>131.80000000000001</v>
      </c>
      <c r="AG12" s="4">
        <v>131.74199999999999</v>
      </c>
      <c r="AH12" s="4">
        <v>123.964</v>
      </c>
      <c r="AI12" s="4">
        <v>119.36799999999999</v>
      </c>
      <c r="AJ12" s="4">
        <v>120.654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D2C1-B5D9-4F89-99AC-DE84C059B965}">
  <dimension ref="A1:AJ12"/>
  <sheetViews>
    <sheetView tabSelected="1" workbookViewId="0">
      <selection activeCell="D18" sqref="D18"/>
    </sheetView>
  </sheetViews>
  <sheetFormatPr defaultRowHeight="14.5" x14ac:dyDescent="0.35"/>
  <sheetData>
    <row r="1" spans="1:36" ht="11.4" x14ac:dyDescent="0.35">
      <c r="A1" s="1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</row>
    <row r="2" spans="1:36" x14ac:dyDescent="0.35">
      <c r="A2" s="2" t="s">
        <v>37</v>
      </c>
      <c r="B2" s="19">
        <f>SUM(Industry!B2,Transport!B2,Services!B2,Households!B2,Agriculture!B2)</f>
        <v>15958.871999999999</v>
      </c>
      <c r="C2" s="19">
        <f>SUM(Industry!C2,Transport!C2,Services!C2,Households!C2,Agriculture!C2)</f>
        <v>11913.719000000001</v>
      </c>
      <c r="D2" s="19">
        <f>SUM(Industry!D2,Transport!D2,Services!D2,Households!D2,Agriculture!D2)</f>
        <v>10484.743999999999</v>
      </c>
      <c r="E2" s="19">
        <f>SUM(Industry!E2,Transport!E2,Services!E2,Households!E2,Agriculture!E2)</f>
        <v>10154.58</v>
      </c>
      <c r="F2" s="19">
        <f>SUM(Industry!F2,Transport!F2,Services!F2,Households!F2,Agriculture!F2)</f>
        <v>10198.750999999998</v>
      </c>
      <c r="G2" s="19">
        <f>SUM(Industry!G2,Transport!G2,Services!G2,Households!G2,Agriculture!G2)</f>
        <v>10727.447</v>
      </c>
      <c r="H2" s="19">
        <f>SUM(Industry!H2,Transport!H2,Services!H2,Households!H2,Agriculture!H2)</f>
        <v>11017.365</v>
      </c>
      <c r="I2" s="19">
        <f>SUM(Industry!I2,Transport!I2,Services!I2,Households!I2,Agriculture!I2)</f>
        <v>10183.212</v>
      </c>
      <c r="J2" s="19">
        <f>SUM(Industry!J2,Transport!J2,Services!J2,Households!J2,Agriculture!J2)</f>
        <v>9894.607</v>
      </c>
      <c r="K2" s="19">
        <f>SUM(Industry!K2,Transport!K2,Services!K2,Households!K2,Agriculture!K2)</f>
        <v>8662.0280000000002</v>
      </c>
      <c r="L2" s="19">
        <f>SUM(Industry!L2,Transport!L2,Services!L2,Households!L2,Agriculture!L2)</f>
        <v>8594.7179999999989</v>
      </c>
      <c r="M2" s="19">
        <f>SUM(Industry!M2,Transport!M2,Services!M2,Households!M2,Agriculture!M2)</f>
        <v>8598.5839999999989</v>
      </c>
      <c r="N2" s="19">
        <f>SUM(Industry!N2,Transport!N2,Services!N2,Households!N2,Agriculture!N2)</f>
        <v>8583.83</v>
      </c>
      <c r="O2" s="19">
        <f>SUM(Industry!O2,Transport!O2,Services!O2,Households!O2,Agriculture!O2)</f>
        <v>9146.7459999999992</v>
      </c>
      <c r="P2" s="19">
        <f>SUM(Industry!P2,Transport!P2,Services!P2,Households!P2,Agriculture!P2)</f>
        <v>9154.9499999999989</v>
      </c>
      <c r="Q2" s="19">
        <f>SUM(Industry!Q2,Transport!Q2,Services!Q2,Households!Q2,Agriculture!Q2)</f>
        <v>9601.7759999999998</v>
      </c>
      <c r="R2" s="19">
        <f>SUM(Industry!R2,Transport!R2,Services!R2,Households!R2,Agriculture!R2)</f>
        <v>9953.1329999999998</v>
      </c>
      <c r="S2" s="19">
        <f>SUM(Industry!S2,Transport!S2,Services!S2,Households!S2,Agriculture!S2)</f>
        <v>9824.8340000000007</v>
      </c>
      <c r="T2" s="19">
        <f>SUM(Industry!T2,Transport!T2,Services!T2,Households!T2,Agriculture!T2)</f>
        <v>9621.253999999999</v>
      </c>
      <c r="U2" s="19">
        <f>SUM(Industry!U2,Transport!U2,Services!U2,Households!U2,Agriculture!U2)</f>
        <v>8470.762999999999</v>
      </c>
      <c r="V2" s="19">
        <f>SUM(Industry!V2,Transport!V2,Services!V2,Households!V2,Agriculture!V2)</f>
        <v>8698.2109999999993</v>
      </c>
      <c r="W2" s="19">
        <f>SUM(Industry!W2,Transport!W2,Services!W2,Households!W2,Agriculture!W2)</f>
        <v>9123.7520000000004</v>
      </c>
      <c r="X2" s="19">
        <f>SUM(Industry!X2,Transport!X2,Services!X2,Households!X2,Agriculture!X2)</f>
        <v>9101.9280000000017</v>
      </c>
      <c r="Y2" s="19">
        <f>SUM(Industry!Y2,Transport!Y2,Services!Y2,Households!Y2,Agriculture!Y2)</f>
        <v>8679.66</v>
      </c>
      <c r="Z2" s="19">
        <f>SUM(Industry!Z2,Transport!Z2,Services!Z2,Households!Z2,Agriculture!Z2)</f>
        <v>8881.3289999999997</v>
      </c>
      <c r="AA2" s="19">
        <f>SUM(Industry!AA2,Transport!AA2,Services!AA2,Households!AA2,Agriculture!AA2)</f>
        <v>9388.380000000001</v>
      </c>
      <c r="AB2" s="19">
        <f>SUM(Industry!AB2,Transport!AB2,Services!AB2,Households!AB2,Agriculture!AB2)</f>
        <v>9517.7780000000002</v>
      </c>
      <c r="AC2" s="19">
        <f>SUM(Industry!AC2,Transport!AC2,Services!AC2,Households!AC2,Agriculture!AC2)</f>
        <v>9745.59</v>
      </c>
      <c r="AD2" s="19">
        <f>SUM(Industry!AD2,Transport!AD2,Services!AD2,Households!AD2,Agriculture!AD2)</f>
        <v>9757.0429999999997</v>
      </c>
      <c r="AE2" s="19">
        <f>SUM(Industry!AE2,Transport!AE2,Services!AE2,Households!AE2,Agriculture!AE2)</f>
        <v>9710.0950000000012</v>
      </c>
      <c r="AF2" s="19">
        <f>SUM(Industry!AF2,Transport!AF2,Services!AF2,Households!AF2,Agriculture!AF2)</f>
        <v>9492.5580000000009</v>
      </c>
      <c r="AG2" s="19">
        <f>SUM(Industry!AG2,Transport!AG2,Services!AG2,Households!AG2,Agriculture!AG2)</f>
        <v>10155.933999999999</v>
      </c>
      <c r="AH2" s="19">
        <f>SUM(Industry!AH2,Transport!AH2,Services!AH2,Households!AH2,Agriculture!AH2)</f>
        <v>9845.6810000000005</v>
      </c>
      <c r="AI2" s="19">
        <f>SUM(Industry!AI2,Transport!AI2,Services!AI2,Households!AI2,Agriculture!AI2)</f>
        <v>9572.902</v>
      </c>
      <c r="AJ2" s="19">
        <f>SUM(Industry!AJ2,Transport!AJ2,Services!AJ2,Households!AJ2,Agriculture!AJ2)</f>
        <v>9814.64</v>
      </c>
    </row>
    <row r="3" spans="1:36" x14ac:dyDescent="0.35">
      <c r="A3" s="2" t="s">
        <v>38</v>
      </c>
      <c r="B3" s="19">
        <f>SUM(Industry!B3,Transport!B3,Services!B3,Households!B3,Agriculture!B3)</f>
        <v>30405.175999999999</v>
      </c>
      <c r="C3" s="19">
        <f>SUM(Industry!C3,Transport!C3,Services!C3,Households!C3,Agriculture!C3)</f>
        <v>27433.269</v>
      </c>
      <c r="D3" s="19">
        <f>SUM(Industry!D3,Transport!D3,Services!D3,Households!D3,Agriculture!D3)</f>
        <v>27066.441999999999</v>
      </c>
      <c r="E3" s="19">
        <f>SUM(Industry!E3,Transport!E3,Services!E3,Households!E3,Agriculture!E3)</f>
        <v>25623.069</v>
      </c>
      <c r="F3" s="19">
        <f>SUM(Industry!F3,Transport!F3,Services!F3,Households!F3,Agriculture!F3)</f>
        <v>23802.448</v>
      </c>
      <c r="G3" s="19">
        <f>SUM(Industry!G3,Transport!G3,Services!G3,Households!G3,Agriculture!G3)</f>
        <v>24322.58</v>
      </c>
      <c r="H3" s="19">
        <f>SUM(Industry!H3,Transport!H3,Services!H3,Households!H3,Agriculture!H3)</f>
        <v>25218.14</v>
      </c>
      <c r="I3" s="19">
        <f>SUM(Industry!I3,Transport!I3,Services!I3,Households!I3,Agriculture!I3)</f>
        <v>24695.73</v>
      </c>
      <c r="J3" s="19">
        <f>SUM(Industry!J3,Transport!J3,Services!J3,Households!J3,Agriculture!J3)</f>
        <v>23779.168000000001</v>
      </c>
      <c r="K3" s="19">
        <f>SUM(Industry!K3,Transport!K3,Services!K3,Households!K3,Agriculture!K3)</f>
        <v>22826.583000000002</v>
      </c>
      <c r="L3" s="19">
        <f>SUM(Industry!L3,Transport!L3,Services!L3,Households!L3,Agriculture!L3)</f>
        <v>23472.489000000001</v>
      </c>
      <c r="M3" s="19">
        <f>SUM(Industry!M3,Transport!M3,Services!M3,Households!M3,Agriculture!M3)</f>
        <v>24158.737000000001</v>
      </c>
      <c r="N3" s="19">
        <f>SUM(Industry!N3,Transport!N3,Services!N3,Households!N3,Agriculture!N3)</f>
        <v>23555.555</v>
      </c>
      <c r="O3" s="19">
        <f>SUM(Industry!O3,Transport!O3,Services!O3,Households!O3,Agriculture!O3)</f>
        <v>24644.210999999999</v>
      </c>
      <c r="P3" s="19">
        <f>SUM(Industry!P3,Transport!P3,Services!P3,Households!P3,Agriculture!P3)</f>
        <v>25042.62</v>
      </c>
      <c r="Q3" s="19">
        <f>SUM(Industry!Q3,Transport!Q3,Services!Q3,Households!Q3,Agriculture!Q3)</f>
        <v>24782.628000000004</v>
      </c>
      <c r="R3" s="19">
        <f>SUM(Industry!R3,Transport!R3,Services!R3,Households!R3,Agriculture!R3)</f>
        <v>25033.048999999999</v>
      </c>
      <c r="S3" s="19">
        <f>SUM(Industry!S3,Transport!S3,Services!S3,Households!S3,Agriculture!S3)</f>
        <v>24502.022999999997</v>
      </c>
      <c r="T3" s="19">
        <f>SUM(Industry!T3,Transport!T3,Services!T3,Households!T3,Agriculture!T3)</f>
        <v>24461.405999999999</v>
      </c>
      <c r="U3" s="19">
        <f>SUM(Industry!U3,Transport!U3,Services!U3,Households!U3,Agriculture!U3)</f>
        <v>23723.239000000001</v>
      </c>
      <c r="V3" s="19">
        <f>SUM(Industry!V3,Transport!V3,Services!V3,Households!V3,Agriculture!V3)</f>
        <v>24040.603000000003</v>
      </c>
      <c r="W3" s="19">
        <f>SUM(Industry!W3,Transport!W3,Services!W3,Households!W3,Agriculture!W3)</f>
        <v>23251.774000000001</v>
      </c>
      <c r="X3" s="19">
        <f>SUM(Industry!X3,Transport!X3,Services!X3,Households!X3,Agriculture!X3)</f>
        <v>23233.74</v>
      </c>
      <c r="Y3" s="19">
        <f>SUM(Industry!Y3,Transport!Y3,Services!Y3,Households!Y3,Agriculture!Y3)</f>
        <v>23054.478999999996</v>
      </c>
      <c r="Z3" s="19">
        <f>SUM(Industry!Z3,Transport!Z3,Services!Z3,Households!Z3,Agriculture!Z3)</f>
        <v>22372.415000000001</v>
      </c>
      <c r="AA3" s="19">
        <f>SUM(Industry!AA3,Transport!AA3,Services!AA3,Households!AA3,Agriculture!AA3)</f>
        <v>23026.867999999999</v>
      </c>
      <c r="AB3" s="19">
        <f>SUM(Industry!AB3,Transport!AB3,Services!AB3,Households!AB3,Agriculture!AB3)</f>
        <v>23651.417999999998</v>
      </c>
      <c r="AC3" s="19">
        <f>SUM(Industry!AC3,Transport!AC3,Services!AC3,Households!AC3,Agriculture!AC3)</f>
        <v>24374.609</v>
      </c>
      <c r="AD3" s="19">
        <f>SUM(Industry!AD3,Transport!AD3,Services!AD3,Households!AD3,Agriculture!AD3)</f>
        <v>24149.829999999998</v>
      </c>
      <c r="AE3" s="19">
        <f>SUM(Industry!AE3,Transport!AE3,Services!AE3,Households!AE3,Agriculture!AE3)</f>
        <v>24187.955999999998</v>
      </c>
      <c r="AF3" s="19">
        <f>SUM(Industry!AF3,Transport!AF3,Services!AF3,Households!AF3,Agriculture!AF3)</f>
        <v>23717.624</v>
      </c>
      <c r="AG3" s="19">
        <f>SUM(Industry!AG3,Transport!AG3,Services!AG3,Households!AG3,Agriculture!AG3)</f>
        <v>25235.563000000002</v>
      </c>
      <c r="AH3" s="19">
        <f>SUM(Industry!AH3,Transport!AH3,Services!AH3,Households!AH3,Agriculture!AH3)</f>
        <v>24114.379000000001</v>
      </c>
      <c r="AI3" s="19">
        <f>SUM(Industry!AI3,Transport!AI3,Services!AI3,Households!AI3,Agriculture!AI3)</f>
        <v>22705.610999999997</v>
      </c>
      <c r="AJ3" s="19">
        <f>SUM(Industry!AJ3,Transport!AJ3,Services!AJ3,Households!AJ3,Agriculture!AJ3)</f>
        <v>22569.454000000002</v>
      </c>
    </row>
    <row r="4" spans="1:36" x14ac:dyDescent="0.35">
      <c r="A4" s="2" t="s">
        <v>39</v>
      </c>
      <c r="B4" s="19">
        <f>SUM(Industry!B4,Transport!B4,Services!B4,Households!B4,Agriculture!B4)</f>
        <v>5160.8620000000001</v>
      </c>
      <c r="C4" s="19">
        <f>SUM(Industry!C4,Transport!C4,Services!C4,Households!C4,Agriculture!C4)</f>
        <v>5053.639000000001</v>
      </c>
      <c r="D4" s="19">
        <f>SUM(Industry!D4,Transport!D4,Services!D4,Households!D4,Agriculture!D4)</f>
        <v>3260.9799999999996</v>
      </c>
      <c r="E4" s="19">
        <f>SUM(Industry!E4,Transport!E4,Services!E4,Households!E4,Agriculture!E4)</f>
        <v>2803.3509999999997</v>
      </c>
      <c r="F4" s="19">
        <f>SUM(Industry!F4,Transport!F4,Services!F4,Households!F4,Agriculture!F4)</f>
        <v>2836.5899999999997</v>
      </c>
      <c r="G4" s="19">
        <f>SUM(Industry!G4,Transport!G4,Services!G4,Households!G4,Agriculture!G4)</f>
        <v>2617.8870000000002</v>
      </c>
      <c r="H4" s="19">
        <f>SUM(Industry!H4,Transport!H4,Services!H4,Households!H4,Agriculture!H4)</f>
        <v>2880.8520000000003</v>
      </c>
      <c r="I4" s="19">
        <f>SUM(Industry!I4,Transport!I4,Services!I4,Households!I4,Agriculture!I4)</f>
        <v>2838.2400000000002</v>
      </c>
      <c r="J4" s="19">
        <f>SUM(Industry!J4,Transport!J4,Services!J4,Households!J4,Agriculture!J4)</f>
        <v>2620.279</v>
      </c>
      <c r="K4" s="19">
        <f>SUM(Industry!K4,Transport!K4,Services!K4,Households!K4,Agriculture!K4)</f>
        <v>2414.1610000000001</v>
      </c>
      <c r="L4" s="19">
        <f>SUM(Industry!L4,Transport!L4,Services!L4,Households!L4,Agriculture!L4)</f>
        <v>2408.4949999999999</v>
      </c>
      <c r="M4" s="19">
        <f>SUM(Industry!M4,Transport!M4,Services!M4,Households!M4,Agriculture!M4)</f>
        <v>2647.6929999999998</v>
      </c>
      <c r="N4" s="19">
        <f>SUM(Industry!N4,Transport!N4,Services!N4,Households!N4,Agriculture!N4)</f>
        <v>2602.5430000000001</v>
      </c>
      <c r="O4" s="19">
        <f>SUM(Industry!O4,Transport!O4,Services!O4,Households!O4,Agriculture!O4)</f>
        <v>2711.9290000000001</v>
      </c>
      <c r="P4" s="19">
        <f>SUM(Industry!P4,Transport!P4,Services!P4,Households!P4,Agriculture!P4)</f>
        <v>2770.4790000000003</v>
      </c>
      <c r="Q4" s="19">
        <f>SUM(Industry!Q4,Transport!Q4,Services!Q4,Households!Q4,Agriculture!Q4)</f>
        <v>2809.2819999999997</v>
      </c>
      <c r="R4" s="19">
        <f>SUM(Industry!R4,Transport!R4,Services!R4,Households!R4,Agriculture!R4)</f>
        <v>2828.4839999999999</v>
      </c>
      <c r="S4" s="19">
        <f>SUM(Industry!S4,Transport!S4,Services!S4,Households!S4,Agriculture!S4)</f>
        <v>3023.2200000000003</v>
      </c>
      <c r="T4" s="19">
        <f>SUM(Industry!T4,Transport!T4,Services!T4,Households!T4,Agriculture!T4)</f>
        <v>2989.7939999999999</v>
      </c>
      <c r="U4" s="19">
        <f>SUM(Industry!U4,Transport!U4,Services!U4,Households!U4,Agriculture!U4)</f>
        <v>2724.4549999999999</v>
      </c>
      <c r="V4" s="19">
        <f>SUM(Industry!V4,Transport!V4,Services!V4,Households!V4,Agriculture!V4)</f>
        <v>2878.1460000000002</v>
      </c>
      <c r="W4" s="19">
        <f>SUM(Industry!W4,Transport!W4,Services!W4,Households!W4,Agriculture!W4)</f>
        <v>2780.915</v>
      </c>
      <c r="X4" s="19">
        <f>SUM(Industry!X4,Transport!X4,Services!X4,Households!X4,Agriculture!X4)</f>
        <v>2826.451</v>
      </c>
      <c r="Y4" s="19">
        <f>SUM(Industry!Y4,Transport!Y4,Services!Y4,Households!Y4,Agriculture!Y4)</f>
        <v>2839.6280000000002</v>
      </c>
      <c r="Z4" s="19">
        <f>SUM(Industry!Z4,Transport!Z4,Services!Z4,Households!Z4,Agriculture!Z4)</f>
        <v>2773.489</v>
      </c>
      <c r="AA4" s="19">
        <f>SUM(Industry!AA4,Transport!AA4,Services!AA4,Households!AA4,Agriculture!AA4)</f>
        <v>2749.6570000000002</v>
      </c>
      <c r="AB4" s="19">
        <f>SUM(Industry!AB4,Transport!AB4,Services!AB4,Households!AB4,Agriculture!AB4)</f>
        <v>2793.1959999999999</v>
      </c>
      <c r="AC4" s="19">
        <f>SUM(Industry!AC4,Transport!AC4,Services!AC4,Households!AC4,Agriculture!AC4)</f>
        <v>2805.95</v>
      </c>
      <c r="AD4" s="19">
        <f>SUM(Industry!AD4,Transport!AD4,Services!AD4,Households!AD4,Agriculture!AD4)</f>
        <v>2876.2280000000005</v>
      </c>
      <c r="AE4" s="19">
        <f>SUM(Industry!AE4,Transport!AE4,Services!AE4,Households!AE4,Agriculture!AE4)</f>
        <v>2825.4349999999999</v>
      </c>
      <c r="AF4" s="19">
        <f>SUM(Industry!AF4,Transport!AF4,Services!AF4,Households!AF4,Agriculture!AF4)</f>
        <v>2724.8890000000001</v>
      </c>
      <c r="AG4" s="19">
        <f>SUM(Industry!AG4,Transport!AG4,Services!AG4,Households!AG4,Agriculture!AG4)</f>
        <v>2789.1370000000002</v>
      </c>
      <c r="AH4" s="19">
        <f>SUM(Industry!AH4,Transport!AH4,Services!AH4,Households!AH4,Agriculture!AH4)</f>
        <v>2720.3029999999999</v>
      </c>
      <c r="AI4" s="19">
        <f>SUM(Industry!AI4,Transport!AI4,Services!AI4,Households!AI4,Agriculture!AI4)</f>
        <v>2561.8760000000002</v>
      </c>
      <c r="AJ4" s="19">
        <f>SUM(Industry!AJ4,Transport!AJ4,Services!AJ4,Households!AJ4,Agriculture!AJ4)</f>
        <v>2692.4409999999998</v>
      </c>
    </row>
    <row r="5" spans="1:36" x14ac:dyDescent="0.35">
      <c r="A5" s="2" t="s">
        <v>40</v>
      </c>
      <c r="B5" s="19">
        <f>SUM(Industry!B5,Transport!B5,Services!B5,Households!B5,Agriculture!B5)</f>
        <v>6330.7879999999996</v>
      </c>
      <c r="C5" s="19">
        <f>SUM(Industry!C5,Transport!C5,Services!C5,Households!C5,Agriculture!C5)</f>
        <v>5617.085</v>
      </c>
      <c r="D5" s="19">
        <f>SUM(Industry!D5,Transport!D5,Services!D5,Households!D5,Agriculture!D5)</f>
        <v>4859.9500000000007</v>
      </c>
      <c r="E5" s="19">
        <f>SUM(Industry!E5,Transport!E5,Services!E5,Households!E5,Agriculture!E5)</f>
        <v>4986.5060000000003</v>
      </c>
      <c r="F5" s="19">
        <f>SUM(Industry!F5,Transport!F5,Services!F5,Households!F5,Agriculture!F5)</f>
        <v>5026.8429999999998</v>
      </c>
      <c r="G5" s="19">
        <f>SUM(Industry!G5,Transport!G5,Services!G5,Households!G5,Agriculture!G5)</f>
        <v>5203.3860000000004</v>
      </c>
      <c r="H5" s="19">
        <f>SUM(Industry!H5,Transport!H5,Services!H5,Households!H5,Agriculture!H5)</f>
        <v>5700.6440000000002</v>
      </c>
      <c r="I5" s="19">
        <f>SUM(Industry!I5,Transport!I5,Services!I5,Households!I5,Agriculture!I5)</f>
        <v>5845.3209999999999</v>
      </c>
      <c r="J5" s="19">
        <f>SUM(Industry!J5,Transport!J5,Services!J5,Households!J5,Agriculture!J5)</f>
        <v>5924.0430000000006</v>
      </c>
      <c r="K5" s="19">
        <f>SUM(Industry!K5,Transport!K5,Services!K5,Households!K5,Agriculture!K5)</f>
        <v>6075.0910000000003</v>
      </c>
      <c r="L5" s="19">
        <f>SUM(Industry!L5,Transport!L5,Services!L5,Households!L5,Agriculture!L5)</f>
        <v>5893.7529999999997</v>
      </c>
      <c r="M5" s="19">
        <f>SUM(Industry!M5,Transport!M5,Services!M5,Households!M5,Agriculture!M5)</f>
        <v>6203.7690000000002</v>
      </c>
      <c r="N5" s="19">
        <f>SUM(Industry!N5,Transport!N5,Services!N5,Households!N5,Agriculture!N5)</f>
        <v>6282.3250000000007</v>
      </c>
      <c r="O5" s="19">
        <f>SUM(Industry!O5,Transport!O5,Services!O5,Households!O5,Agriculture!O5)</f>
        <v>6728.7659999999996</v>
      </c>
      <c r="P5" s="19">
        <f>SUM(Industry!P5,Transport!P5,Services!P5,Households!P5,Agriculture!P5)</f>
        <v>6894.3990000000003</v>
      </c>
      <c r="Q5" s="19">
        <f>SUM(Industry!Q5,Transport!Q5,Services!Q5,Households!Q5,Agriculture!Q5)</f>
        <v>7134.0259999999998</v>
      </c>
      <c r="R5" s="19">
        <f>SUM(Industry!R5,Transport!R5,Services!R5,Households!R5,Agriculture!R5)</f>
        <v>7143.8540000000003</v>
      </c>
      <c r="S5" s="19">
        <f>SUM(Industry!S5,Transport!S5,Services!S5,Households!S5,Agriculture!S5)</f>
        <v>7171.1119999999992</v>
      </c>
      <c r="T5" s="19">
        <f>SUM(Industry!T5,Transport!T5,Services!T5,Households!T5,Agriculture!T5)</f>
        <v>7277.7820000000002</v>
      </c>
      <c r="U5" s="19">
        <f>SUM(Industry!U5,Transport!U5,Services!U5,Households!U5,Agriculture!U5)</f>
        <v>7067.8020000000006</v>
      </c>
      <c r="V5" s="19">
        <f>SUM(Industry!V5,Transport!V5,Services!V5,Households!V5,Agriculture!V5)</f>
        <v>7098.1940000000004</v>
      </c>
      <c r="W5" s="19">
        <f>SUM(Industry!W5,Transport!W5,Services!W5,Households!W5,Agriculture!W5)</f>
        <v>6842.8540000000003</v>
      </c>
      <c r="X5" s="19">
        <f>SUM(Industry!X5,Transport!X5,Services!X5,Households!X5,Agriculture!X5)</f>
        <v>6529.0469999999996</v>
      </c>
      <c r="Y5" s="19">
        <f>SUM(Industry!Y5,Transport!Y5,Services!Y5,Households!Y5,Agriculture!Y5)</f>
        <v>6438.26</v>
      </c>
      <c r="Z5" s="19">
        <f>SUM(Industry!Z5,Transport!Z5,Services!Z5,Households!Z5,Agriculture!Z5)</f>
        <v>6101.9920000000002</v>
      </c>
      <c r="AA5" s="19">
        <f>SUM(Industry!AA5,Transport!AA5,Services!AA5,Households!AA5,Agriculture!AA5)</f>
        <v>6457.4310000000005</v>
      </c>
      <c r="AB5" s="19">
        <f>SUM(Industry!AB5,Transport!AB5,Services!AB5,Households!AB5,Agriculture!AB5)</f>
        <v>6505.5719999999992</v>
      </c>
      <c r="AC5" s="19">
        <f>SUM(Industry!AC5,Transport!AC5,Services!AC5,Households!AC5,Agriculture!AC5)</f>
        <v>6767.335</v>
      </c>
      <c r="AD5" s="19">
        <f>SUM(Industry!AD5,Transport!AD5,Services!AD5,Households!AD5,Agriculture!AD5)</f>
        <v>6658.5970000000007</v>
      </c>
      <c r="AE5" s="19">
        <f>SUM(Industry!AE5,Transport!AE5,Services!AE5,Households!AE5,Agriculture!AE5)</f>
        <v>6703.0449999999983</v>
      </c>
      <c r="AF5" s="19">
        <f>SUM(Industry!AF5,Transport!AF5,Services!AF5,Households!AF5,Agriculture!AF5)</f>
        <v>6408.4759999999997</v>
      </c>
      <c r="AG5" s="19">
        <f>SUM(Industry!AG5,Transport!AG5,Services!AG5,Households!AG5,Agriculture!AG5)</f>
        <v>6863.0610000000006</v>
      </c>
      <c r="AH5" s="19">
        <f>SUM(Industry!AH5,Transport!AH5,Services!AH5,Households!AH5,Agriculture!AH5)</f>
        <v>6696.9340000000002</v>
      </c>
      <c r="AI5" s="19">
        <f>SUM(Industry!AI5,Transport!AI5,Services!AI5,Households!AI5,Agriculture!AI5)</f>
        <v>6902.5769999999993</v>
      </c>
      <c r="AJ5" s="19">
        <f>SUM(Industry!AJ5,Transport!AJ5,Services!AJ5,Households!AJ5,Agriculture!AJ5)</f>
        <v>7131.2030000000004</v>
      </c>
    </row>
    <row r="6" spans="1:36" x14ac:dyDescent="0.35">
      <c r="A6" s="2" t="s">
        <v>41</v>
      </c>
      <c r="B6" s="19">
        <f>SUM(Industry!B6,Transport!B6,Services!B6,Households!B6,Agriculture!B6)</f>
        <v>6298.6930000000002</v>
      </c>
      <c r="C6" s="19">
        <f>SUM(Industry!C6,Transport!C6,Services!C6,Households!C6,Agriculture!C6)</f>
        <v>6115.3410000000003</v>
      </c>
      <c r="D6" s="19">
        <f>SUM(Industry!D6,Transport!D6,Services!D6,Households!D6,Agriculture!D6)</f>
        <v>5089.0680000000002</v>
      </c>
      <c r="E6" s="19">
        <f>SUM(Industry!E6,Transport!E6,Services!E6,Households!E6,Agriculture!E6)</f>
        <v>4409.8519999999999</v>
      </c>
      <c r="F6" s="19">
        <f>SUM(Industry!F6,Transport!F6,Services!F6,Households!F6,Agriculture!F6)</f>
        <v>3989.4480000000003</v>
      </c>
      <c r="G6" s="19">
        <f>SUM(Industry!G6,Transport!G6,Services!G6,Households!G6,Agriculture!G6)</f>
        <v>3778.7730000000001</v>
      </c>
      <c r="H6" s="19">
        <f>SUM(Industry!H6,Transport!H6,Services!H6,Households!H6,Agriculture!H6)</f>
        <v>3712.6749999999997</v>
      </c>
      <c r="I6" s="19">
        <f>SUM(Industry!I6,Transport!I6,Services!I6,Households!I6,Agriculture!I6)</f>
        <v>3664.0810000000001</v>
      </c>
      <c r="J6" s="19">
        <f>SUM(Industry!J6,Transport!J6,Services!J6,Households!J6,Agriculture!J6)</f>
        <v>3549.0940000000001</v>
      </c>
      <c r="K6" s="19">
        <f>SUM(Industry!K6,Transport!K6,Services!K6,Households!K6,Agriculture!K6)</f>
        <v>3331.0239999999999</v>
      </c>
      <c r="L6" s="19">
        <f>SUM(Industry!L6,Transport!L6,Services!L6,Households!L6,Agriculture!L6)</f>
        <v>3198.2649999999999</v>
      </c>
      <c r="M6" s="19">
        <f>SUM(Industry!M6,Transport!M6,Services!M6,Households!M6,Agriculture!M6)</f>
        <v>3510.7820000000002</v>
      </c>
      <c r="N6" s="19">
        <f>SUM(Industry!N6,Transport!N6,Services!N6,Households!N6,Agriculture!N6)</f>
        <v>3564.2739999999999</v>
      </c>
      <c r="O6" s="19">
        <f>SUM(Industry!O6,Transport!O6,Services!O6,Households!O6,Agriculture!O6)</f>
        <v>3720.2110000000002</v>
      </c>
      <c r="P6" s="19">
        <f>SUM(Industry!P6,Transport!P6,Services!P6,Households!P6,Agriculture!P6)</f>
        <v>3824.9749999999999</v>
      </c>
      <c r="Q6" s="19">
        <f>SUM(Industry!Q6,Transport!Q6,Services!Q6,Households!Q6,Agriculture!Q6)</f>
        <v>3931.4140000000002</v>
      </c>
      <c r="R6" s="19">
        <f>SUM(Industry!R6,Transport!R6,Services!R6,Households!R6,Agriculture!R6)</f>
        <v>4105.6030000000001</v>
      </c>
      <c r="S6" s="19">
        <f>SUM(Industry!S6,Transport!S6,Services!S6,Households!S6,Agriculture!S6)</f>
        <v>4259.0259999999998</v>
      </c>
      <c r="T6" s="19">
        <f>SUM(Industry!T6,Transport!T6,Services!T6,Households!T6,Agriculture!T6)</f>
        <v>4044.5149999999999</v>
      </c>
      <c r="U6" s="19">
        <f>SUM(Industry!U6,Transport!U6,Services!U6,Households!U6,Agriculture!U6)</f>
        <v>3928.1190000000001</v>
      </c>
      <c r="V6" s="19">
        <f>SUM(Industry!V6,Transport!V6,Services!V6,Households!V6,Agriculture!V6)</f>
        <v>3989.2270000000003</v>
      </c>
      <c r="W6" s="19">
        <f>SUM(Industry!W6,Transport!W6,Services!W6,Households!W6,Agriculture!W6)</f>
        <v>3737.6350000000002</v>
      </c>
      <c r="X6" s="19">
        <f>SUM(Industry!X6,Transport!X6,Services!X6,Households!X6,Agriculture!X6)</f>
        <v>3898.8690000000001</v>
      </c>
      <c r="Y6" s="19">
        <f>SUM(Industry!Y6,Transport!Y6,Services!Y6,Households!Y6,Agriculture!Y6)</f>
        <v>3722.5740000000001</v>
      </c>
      <c r="Z6" s="19">
        <f>SUM(Industry!Z6,Transport!Z6,Services!Z6,Households!Z6,Agriculture!Z6)</f>
        <v>3766.8229999999999</v>
      </c>
      <c r="AA6" s="19">
        <f>SUM(Industry!AA6,Transport!AA6,Services!AA6,Households!AA6,Agriculture!AA6)</f>
        <v>3672.7810000000009</v>
      </c>
      <c r="AB6" s="19">
        <f>SUM(Industry!AB6,Transport!AB6,Services!AB6,Households!AB6,Agriculture!AB6)</f>
        <v>3685.9189999999994</v>
      </c>
      <c r="AC6" s="19">
        <f>SUM(Industry!AC6,Transport!AC6,Services!AC6,Households!AC6,Agriculture!AC6)</f>
        <v>3861.61</v>
      </c>
      <c r="AD6" s="19">
        <f>SUM(Industry!AD6,Transport!AD6,Services!AD6,Households!AD6,Agriculture!AD6)</f>
        <v>4010.0140000000001</v>
      </c>
      <c r="AE6" s="19">
        <f>SUM(Industry!AE6,Transport!AE6,Services!AE6,Households!AE6,Agriculture!AE6)</f>
        <v>3909.6540000000005</v>
      </c>
      <c r="AF6" s="19">
        <f>SUM(Industry!AF6,Transport!AF6,Services!AF6,Households!AF6,Agriculture!AF6)</f>
        <v>3786.7350000000001</v>
      </c>
      <c r="AG6" s="19">
        <f>SUM(Industry!AG6,Transport!AG6,Services!AG6,Households!AG6,Agriculture!AG6)</f>
        <v>3966.4359999999997</v>
      </c>
      <c r="AH6" s="19">
        <f>SUM(Industry!AH6,Transport!AH6,Services!AH6,Households!AH6,Agriculture!AH6)</f>
        <v>3807.5549999999998</v>
      </c>
      <c r="AI6" s="19">
        <f>SUM(Industry!AI6,Transport!AI6,Services!AI6,Households!AI6,Agriculture!AI6)</f>
        <v>3750.5969999999998</v>
      </c>
      <c r="AJ6" s="19">
        <f>SUM(Industry!AJ6,Transport!AJ6,Services!AJ6,Households!AJ6,Agriculture!AJ6)</f>
        <v>3581.3079999999995</v>
      </c>
    </row>
    <row r="7" spans="1:36" x14ac:dyDescent="0.35">
      <c r="A7" s="2" t="s">
        <v>42</v>
      </c>
      <c r="B7" s="19">
        <f>SUM(Industry!B7,Transport!B7,Services!B7,Households!B7,Agriculture!B7)</f>
        <v>9538.67</v>
      </c>
      <c r="C7" s="19">
        <f>SUM(Industry!C7,Transport!C7,Services!C7,Households!C7,Agriculture!C7)</f>
        <v>9993.73</v>
      </c>
      <c r="D7" s="19">
        <f>SUM(Industry!D7,Transport!D7,Services!D7,Households!D7,Agriculture!D7)</f>
        <v>6301.8119999999999</v>
      </c>
      <c r="E7" s="19">
        <f>SUM(Industry!E7,Transport!E7,Services!E7,Households!E7,Agriculture!E7)</f>
        <v>4866.3090000000002</v>
      </c>
      <c r="F7" s="19">
        <f>SUM(Industry!F7,Transport!F7,Services!F7,Households!F7,Agriculture!F7)</f>
        <v>4688.4989999999998</v>
      </c>
      <c r="G7" s="19">
        <f>SUM(Industry!G7,Transport!G7,Services!G7,Households!G7,Agriculture!G7)</f>
        <v>4550.0920000000006</v>
      </c>
      <c r="H7" s="19">
        <f>SUM(Industry!H7,Transport!H7,Services!H7,Households!H7,Agriculture!H7)</f>
        <v>4442.1620000000003</v>
      </c>
      <c r="I7" s="19">
        <f>SUM(Industry!I7,Transport!I7,Services!I7,Households!I7,Agriculture!I7)</f>
        <v>4484.7670000000007</v>
      </c>
      <c r="J7" s="19">
        <f>SUM(Industry!J7,Transport!J7,Services!J7,Households!J7,Agriculture!J7)</f>
        <v>4440.3890000000001</v>
      </c>
      <c r="K7" s="19">
        <f>SUM(Industry!K7,Transport!K7,Services!K7,Households!K7,Agriculture!K7)</f>
        <v>4022.5780000000004</v>
      </c>
      <c r="L7" s="19">
        <f>SUM(Industry!L7,Transport!L7,Services!L7,Households!L7,Agriculture!L7)</f>
        <v>3742.058</v>
      </c>
      <c r="M7" s="19">
        <f>SUM(Industry!M7,Transport!M7,Services!M7,Households!M7,Agriculture!M7)</f>
        <v>3887.3870000000002</v>
      </c>
      <c r="N7" s="19">
        <f>SUM(Industry!N7,Transport!N7,Services!N7,Households!N7,Agriculture!N7)</f>
        <v>4057.41</v>
      </c>
      <c r="O7" s="19">
        <f>SUM(Industry!O7,Transport!O7,Services!O7,Households!O7,Agriculture!O7)</f>
        <v>4178.4189999999999</v>
      </c>
      <c r="P7" s="19">
        <f>SUM(Industry!P7,Transport!P7,Services!P7,Households!P7,Agriculture!P7)</f>
        <v>4361.1189999999988</v>
      </c>
      <c r="Q7" s="19">
        <f>SUM(Industry!Q7,Transport!Q7,Services!Q7,Households!Q7,Agriculture!Q7)</f>
        <v>4616.9170000000004</v>
      </c>
      <c r="R7" s="19">
        <f>SUM(Industry!R7,Transport!R7,Services!R7,Households!R7,Agriculture!R7)</f>
        <v>4868.6090000000004</v>
      </c>
      <c r="S7" s="19">
        <f>SUM(Industry!S7,Transport!S7,Services!S7,Households!S7,Agriculture!S7)</f>
        <v>5138.4480000000003</v>
      </c>
      <c r="T7" s="19">
        <f>SUM(Industry!T7,Transport!T7,Services!T7,Households!T7,Agriculture!T7)</f>
        <v>5047.7240000000002</v>
      </c>
      <c r="U7" s="19">
        <f>SUM(Industry!U7,Transport!U7,Services!U7,Households!U7,Agriculture!U7)</f>
        <v>4599.5959999999995</v>
      </c>
      <c r="V7" s="19">
        <f>SUM(Industry!V7,Transport!V7,Services!V7,Households!V7,Agriculture!V7)</f>
        <v>4749.8760000000002</v>
      </c>
      <c r="W7" s="19">
        <f>SUM(Industry!W7,Transport!W7,Services!W7,Households!W7,Agriculture!W7)</f>
        <v>4721.8050000000012</v>
      </c>
      <c r="X7" s="19">
        <f>SUM(Industry!X7,Transport!X7,Services!X7,Households!X7,Agriculture!X7)</f>
        <v>4833.5619999999999</v>
      </c>
      <c r="Y7" s="19">
        <f>SUM(Industry!Y7,Transport!Y7,Services!Y7,Households!Y7,Agriculture!Y7)</f>
        <v>4703.8050000000003</v>
      </c>
      <c r="Z7" s="19">
        <f>SUM(Industry!Z7,Transport!Z7,Services!Z7,Households!Z7,Agriculture!Z7)</f>
        <v>4786.7950000000001</v>
      </c>
      <c r="AA7" s="19">
        <f>SUM(Industry!AA7,Transport!AA7,Services!AA7,Households!AA7,Agriculture!AA7)</f>
        <v>4764.7249999999995</v>
      </c>
      <c r="AB7" s="19">
        <f>SUM(Industry!AB7,Transport!AB7,Services!AB7,Households!AB7,Agriculture!AB7)</f>
        <v>4993.5929999999998</v>
      </c>
      <c r="AC7" s="19">
        <f>SUM(Industry!AC7,Transport!AC7,Services!AC7,Households!AC7,Agriculture!AC7)</f>
        <v>5229.433</v>
      </c>
      <c r="AD7" s="19">
        <f>SUM(Industry!AD7,Transport!AD7,Services!AD7,Households!AD7,Agriculture!AD7)</f>
        <v>5458.5210000000006</v>
      </c>
      <c r="AE7" s="19">
        <f>SUM(Industry!AE7,Transport!AE7,Services!AE7,Households!AE7,Agriculture!AE7)</f>
        <v>5449.0099999999993</v>
      </c>
      <c r="AF7" s="19">
        <f>SUM(Industry!AF7,Transport!AF7,Services!AF7,Households!AF7,Agriculture!AF7)</f>
        <v>5274.0659999999998</v>
      </c>
      <c r="AG7" s="19">
        <f>SUM(Industry!AG7,Transport!AG7,Services!AG7,Households!AG7,Agriculture!AG7)</f>
        <v>5652.2520000000004</v>
      </c>
      <c r="AH7" s="19">
        <f>SUM(Industry!AH7,Transport!AH7,Services!AH7,Households!AH7,Agriculture!AH7)</f>
        <v>5365.69</v>
      </c>
      <c r="AI7" s="19">
        <f>SUM(Industry!AI7,Transport!AI7,Services!AI7,Households!AI7,Agriculture!AI7)</f>
        <v>5308.8159999999998</v>
      </c>
      <c r="AJ7" s="19">
        <f>SUM(Industry!AJ7,Transport!AJ7,Services!AJ7,Households!AJ7,Agriculture!AJ7)</f>
        <v>5612.5360000000001</v>
      </c>
    </row>
    <row r="8" spans="1:36" x14ac:dyDescent="0.35">
      <c r="A8" s="2" t="s">
        <v>43</v>
      </c>
      <c r="B8" s="19">
        <f>SUM(Industry!B8,Transport!B8,Services!B8,Households!B8,Agriculture!B8)</f>
        <v>18855.614999999998</v>
      </c>
      <c r="C8" s="19">
        <f>SUM(Industry!C8,Transport!C8,Services!C8,Households!C8,Agriculture!C8)</f>
        <v>17980.953999999998</v>
      </c>
      <c r="D8" s="19">
        <f>SUM(Industry!D8,Transport!D8,Services!D8,Households!D8,Agriculture!D8)</f>
        <v>15683.498000000001</v>
      </c>
      <c r="E8" s="19">
        <f>SUM(Industry!E8,Transport!E8,Services!E8,Households!E8,Agriculture!E8)</f>
        <v>15709.392000000002</v>
      </c>
      <c r="F8" s="19">
        <f>SUM(Industry!F8,Transport!F8,Services!F8,Households!F8,Agriculture!F8)</f>
        <v>15457.860999999999</v>
      </c>
      <c r="G8" s="19">
        <f>SUM(Industry!G8,Transport!G8,Services!G8,Households!G8,Agriculture!G8)</f>
        <v>15473.397000000003</v>
      </c>
      <c r="H8" s="19">
        <f>SUM(Industry!H8,Transport!H8,Services!H8,Households!H8,Agriculture!H8)</f>
        <v>16071.530999999999</v>
      </c>
      <c r="I8" s="19">
        <f>SUM(Industry!I8,Transport!I8,Services!I8,Households!I8,Agriculture!I8)</f>
        <v>15549.204</v>
      </c>
      <c r="J8" s="19">
        <f>SUM(Industry!J8,Transport!J8,Services!J8,Households!J8,Agriculture!J8)</f>
        <v>15608.376999999997</v>
      </c>
      <c r="K8" s="19">
        <f>SUM(Industry!K8,Transport!K8,Services!K8,Households!K8,Agriculture!K8)</f>
        <v>15864.971</v>
      </c>
      <c r="L8" s="19">
        <f>SUM(Industry!L8,Transport!L8,Services!L8,Households!L8,Agriculture!L8)</f>
        <v>15618.683999999999</v>
      </c>
      <c r="M8" s="19">
        <f>SUM(Industry!M8,Transport!M8,Services!M8,Households!M8,Agriculture!M8)</f>
        <v>16454.675999999999</v>
      </c>
      <c r="N8" s="19">
        <f>SUM(Industry!N8,Transport!N8,Services!N8,Households!N8,Agriculture!N8)</f>
        <v>16514.403999999999</v>
      </c>
      <c r="O8" s="19">
        <f>SUM(Industry!O8,Transport!O8,Services!O8,Households!O8,Agriculture!O8)</f>
        <v>17254.919999999998</v>
      </c>
      <c r="P8" s="19">
        <f>SUM(Industry!P8,Transport!P8,Services!P8,Households!P8,Agriculture!P8)</f>
        <v>17041.780999999999</v>
      </c>
      <c r="Q8" s="19">
        <f>SUM(Industry!Q8,Transport!Q8,Services!Q8,Households!Q8,Agriculture!Q8)</f>
        <v>18164.704000000002</v>
      </c>
      <c r="R8" s="19">
        <f>SUM(Industry!R8,Transport!R8,Services!R8,Households!R8,Agriculture!R8)</f>
        <v>17883.269</v>
      </c>
      <c r="S8" s="19">
        <f>SUM(Industry!S8,Transport!S8,Services!S8,Households!S8,Agriculture!S8)</f>
        <v>16885.305</v>
      </c>
      <c r="T8" s="19">
        <f>SUM(Industry!T8,Transport!T8,Services!T8,Households!T8,Agriculture!T8)</f>
        <v>16868.319000000003</v>
      </c>
      <c r="U8" s="19">
        <f>SUM(Industry!U8,Transport!U8,Services!U8,Households!U8,Agriculture!U8)</f>
        <v>16561.518</v>
      </c>
      <c r="V8" s="19">
        <f>SUM(Industry!V8,Transport!V8,Services!V8,Households!V8,Agriculture!V8)</f>
        <v>16879.014000000003</v>
      </c>
      <c r="W8" s="19">
        <f>SUM(Industry!W8,Transport!W8,Services!W8,Households!W8,Agriculture!W8)</f>
        <v>16916.915000000001</v>
      </c>
      <c r="X8" s="19">
        <f>SUM(Industry!X8,Transport!X8,Services!X8,Households!X8,Agriculture!X8)</f>
        <v>16002.583999999999</v>
      </c>
      <c r="Y8" s="19">
        <f>SUM(Industry!Y8,Transport!Y8,Services!Y8,Households!Y8,Agriculture!Y8)</f>
        <v>16253.396000000001</v>
      </c>
      <c r="Z8" s="19">
        <f>SUM(Industry!Z8,Transport!Z8,Services!Z8,Households!Z8,Agriculture!Z8)</f>
        <v>15773.609</v>
      </c>
      <c r="AA8" s="19">
        <f>SUM(Industry!AA8,Transport!AA8,Services!AA8,Households!AA8,Agriculture!AA8)</f>
        <v>16798.424000000003</v>
      </c>
      <c r="AB8" s="19">
        <f>SUM(Industry!AB8,Transport!AB8,Services!AB8,Households!AB8,Agriculture!AB8)</f>
        <v>17236.8</v>
      </c>
      <c r="AC8" s="19">
        <f>SUM(Industry!AC8,Transport!AC8,Services!AC8,Households!AC8,Agriculture!AC8)</f>
        <v>17836.275000000001</v>
      </c>
      <c r="AD8" s="19">
        <f>SUM(Industry!AD8,Transport!AD8,Services!AD8,Households!AD8,Agriculture!AD8)</f>
        <v>17808.073</v>
      </c>
      <c r="AE8" s="19">
        <f>SUM(Industry!AE8,Transport!AE8,Services!AE8,Households!AE8,Agriculture!AE8)</f>
        <v>17930.222000000002</v>
      </c>
      <c r="AF8" s="19">
        <f>SUM(Industry!AF8,Transport!AF8,Services!AF8,Households!AF8,Agriculture!AF8)</f>
        <v>17565.257999999998</v>
      </c>
      <c r="AG8" s="19">
        <f>SUM(Industry!AG8,Transport!AG8,Services!AG8,Households!AG8,Agriculture!AG8)</f>
        <v>18741.418999999998</v>
      </c>
      <c r="AH8" s="19">
        <f>SUM(Industry!AH8,Transport!AH8,Services!AH8,Households!AH8,Agriculture!AH8)</f>
        <v>17904.420000000002</v>
      </c>
      <c r="AI8" s="19">
        <f>SUM(Industry!AI8,Transport!AI8,Services!AI8,Households!AI8,Agriculture!AI8)</f>
        <v>16506.310000000001</v>
      </c>
      <c r="AJ8" s="19">
        <f>SUM(Industry!AJ8,Transport!AJ8,Services!AJ8,Households!AJ8,Agriculture!AJ8)</f>
        <v>16571.436000000002</v>
      </c>
    </row>
    <row r="9" spans="1:36" x14ac:dyDescent="0.35">
      <c r="A9" s="2" t="s">
        <v>44</v>
      </c>
      <c r="B9" s="19">
        <f>SUM(Industry!B9,Transport!B9,Services!B9,Households!B9,Agriculture!B9)</f>
        <v>56375.537999999993</v>
      </c>
      <c r="C9" s="19">
        <f>SUM(Industry!C9,Transport!C9,Services!C9,Households!C9,Agriculture!C9)</f>
        <v>57650.920999999995</v>
      </c>
      <c r="D9" s="19">
        <f>SUM(Industry!D9,Transport!D9,Services!D9,Households!D9,Agriculture!D9)</f>
        <v>56430.845999999998</v>
      </c>
      <c r="E9" s="19">
        <f>SUM(Industry!E9,Transport!E9,Services!E9,Households!E9,Agriculture!E9)</f>
        <v>61810.983999999997</v>
      </c>
      <c r="F9" s="19">
        <f>SUM(Industry!F9,Transport!F9,Services!F9,Households!F9,Agriculture!F9)</f>
        <v>59562.297000000006</v>
      </c>
      <c r="G9" s="19">
        <f>SUM(Industry!G9,Transport!G9,Services!G9,Households!G9,Agriculture!G9)</f>
        <v>60910.001999999993</v>
      </c>
      <c r="H9" s="19">
        <f>SUM(Industry!H9,Transport!H9,Services!H9,Households!H9,Agriculture!H9)</f>
        <v>64631.386000000006</v>
      </c>
      <c r="I9" s="19">
        <f>SUM(Industry!I9,Transport!I9,Services!I9,Households!I9,Agriculture!I9)</f>
        <v>63232.951000000001</v>
      </c>
      <c r="J9" s="19">
        <f>SUM(Industry!J9,Transport!J9,Services!J9,Households!J9,Agriculture!J9)</f>
        <v>58415.745999999999</v>
      </c>
      <c r="K9" s="19">
        <f>SUM(Industry!K9,Transport!K9,Services!K9,Households!K9,Agriculture!K9)</f>
        <v>57104.276000000013</v>
      </c>
      <c r="L9" s="19">
        <f>SUM(Industry!L9,Transport!L9,Services!L9,Households!L9,Agriculture!L9)</f>
        <v>53517.994000000006</v>
      </c>
      <c r="M9" s="19">
        <f>SUM(Industry!M9,Transport!M9,Services!M9,Households!M9,Agriculture!M9)</f>
        <v>54145.387999999999</v>
      </c>
      <c r="N9" s="19">
        <f>SUM(Industry!N9,Transport!N9,Services!N9,Households!N9,Agriculture!N9)</f>
        <v>53741.390999999996</v>
      </c>
      <c r="O9" s="19">
        <f>SUM(Industry!O9,Transport!O9,Services!O9,Households!O9,Agriculture!O9)</f>
        <v>55271.573999999993</v>
      </c>
      <c r="P9" s="19">
        <f>SUM(Industry!P9,Transport!P9,Services!P9,Households!P9,Agriculture!P9)</f>
        <v>56755.991000000002</v>
      </c>
      <c r="Q9" s="19">
        <f>SUM(Industry!Q9,Transport!Q9,Services!Q9,Households!Q9,Agriculture!Q9)</f>
        <v>57479.976000000002</v>
      </c>
      <c r="R9" s="19">
        <f>SUM(Industry!R9,Transport!R9,Services!R9,Households!R9,Agriculture!R9)</f>
        <v>59902.740999999995</v>
      </c>
      <c r="S9" s="19">
        <f>SUM(Industry!S9,Transport!S9,Services!S9,Households!S9,Agriculture!S9)</f>
        <v>60080.46100000001</v>
      </c>
      <c r="T9" s="19">
        <f>SUM(Industry!T9,Transport!T9,Services!T9,Households!T9,Agriculture!T9)</f>
        <v>61075.818999999996</v>
      </c>
      <c r="U9" s="19">
        <f>SUM(Industry!U9,Transport!U9,Services!U9,Households!U9,Agriculture!U9)</f>
        <v>60589.288999999997</v>
      </c>
      <c r="V9" s="19">
        <f>SUM(Industry!V9,Transport!V9,Services!V9,Households!V9,Agriculture!V9)</f>
        <v>65257.074000000001</v>
      </c>
      <c r="W9" s="19">
        <f>SUM(Industry!W9,Transport!W9,Services!W9,Households!W9,Agriculture!W9)</f>
        <v>63609.048000000003</v>
      </c>
      <c r="X9" s="19">
        <f>SUM(Industry!X9,Transport!X9,Services!X9,Households!X9,Agriculture!X9)</f>
        <v>63257.097999999998</v>
      </c>
      <c r="Y9" s="19">
        <f>SUM(Industry!Y9,Transport!Y9,Services!Y9,Households!Y9,Agriculture!Y9)</f>
        <v>62104.03</v>
      </c>
      <c r="Z9" s="19">
        <f>SUM(Industry!Z9,Transport!Z9,Services!Z9,Households!Z9,Agriculture!Z9)</f>
        <v>60202.146999999997</v>
      </c>
      <c r="AA9" s="19">
        <f>SUM(Industry!AA9,Transport!AA9,Services!AA9,Households!AA9,Agriculture!AA9)</f>
        <v>60861.587</v>
      </c>
      <c r="AB9" s="19">
        <f>SUM(Industry!AB9,Transport!AB9,Services!AB9,Households!AB9,Agriculture!AB9)</f>
        <v>65136.153999999995</v>
      </c>
      <c r="AC9" s="19">
        <f>SUM(Industry!AC9,Transport!AC9,Services!AC9,Households!AC9,Agriculture!AC9)</f>
        <v>69224.009999999995</v>
      </c>
      <c r="AD9" s="19">
        <f>SUM(Industry!AD9,Transport!AD9,Services!AD9,Households!AD9,Agriculture!AD9)</f>
        <v>73049.715000000011</v>
      </c>
      <c r="AE9" s="19">
        <f>SUM(Industry!AE9,Transport!AE9,Services!AE9,Households!AE9,Agriculture!AE9)</f>
        <v>71853.649000000005</v>
      </c>
      <c r="AF9" s="19">
        <f>SUM(Industry!AF9,Transport!AF9,Services!AF9,Households!AF9,Agriculture!AF9)</f>
        <v>70176.900999999998</v>
      </c>
      <c r="AG9" s="19">
        <f>SUM(Industry!AG9,Transport!AG9,Services!AG9,Households!AG9,Agriculture!AG9)</f>
        <v>74141.686000000002</v>
      </c>
      <c r="AH9" s="19">
        <f>SUM(Industry!AH9,Transport!AH9,Services!AH9,Households!AH9,Agriculture!AH9)</f>
        <v>70861.596999999994</v>
      </c>
      <c r="AI9" s="19">
        <f>SUM(Industry!AI9,Transport!AI9,Services!AI9,Households!AI9,Agriculture!AI9)</f>
        <v>69037.434999999998</v>
      </c>
      <c r="AJ9" s="19">
        <f>SUM(Industry!AJ9,Transport!AJ9,Services!AJ9,Households!AJ9,Agriculture!AJ9)</f>
        <v>69049.182000000001</v>
      </c>
    </row>
    <row r="10" spans="1:36" x14ac:dyDescent="0.35">
      <c r="A10" s="2" t="s">
        <v>45</v>
      </c>
      <c r="B10" s="19">
        <f>SUM(Industry!B10,Transport!B10,Services!B10,Households!B10,Agriculture!B10)</f>
        <v>41675.887999999999</v>
      </c>
      <c r="C10" s="19">
        <f>SUM(Industry!C10,Transport!C10,Services!C10,Households!C10,Agriculture!C10)</f>
        <v>33473.857000000004</v>
      </c>
      <c r="D10" s="19">
        <f>SUM(Industry!D10,Transport!D10,Services!D10,Households!D10,Agriculture!D10)</f>
        <v>25207.413999999997</v>
      </c>
      <c r="E10" s="19">
        <f>SUM(Industry!E10,Transport!E10,Services!E10,Households!E10,Agriculture!E10)</f>
        <v>23243.912</v>
      </c>
      <c r="F10" s="19">
        <f>SUM(Industry!F10,Transport!F10,Services!F10,Households!F10,Agriculture!F10)</f>
        <v>23878.297999999999</v>
      </c>
      <c r="G10" s="19">
        <f>SUM(Industry!G10,Transport!G10,Services!G10,Households!G10,Agriculture!G10)</f>
        <v>24762.432000000001</v>
      </c>
      <c r="H10" s="19">
        <f>SUM(Industry!H10,Transport!H10,Services!H10,Households!H10,Agriculture!H10)</f>
        <v>27474.262000000002</v>
      </c>
      <c r="I10" s="19">
        <f>SUM(Industry!I10,Transport!I10,Services!I10,Households!I10,Agriculture!I10)</f>
        <v>26925.163</v>
      </c>
      <c r="J10" s="19">
        <f>SUM(Industry!J10,Transport!J10,Services!J10,Households!J10,Agriculture!J10)</f>
        <v>24647.804000000004</v>
      </c>
      <c r="K10" s="19">
        <f>SUM(Industry!K10,Transport!K10,Services!K10,Households!K10,Agriculture!K10)</f>
        <v>21340.454999999998</v>
      </c>
      <c r="L10" s="19">
        <f>SUM(Industry!L10,Transport!L10,Services!L10,Households!L10,Agriculture!L10)</f>
        <v>21411.868000000002</v>
      </c>
      <c r="M10" s="19">
        <f>SUM(Industry!M10,Transport!M10,Services!M10,Households!M10,Agriculture!M10)</f>
        <v>21755.79</v>
      </c>
      <c r="N10" s="19">
        <f>SUM(Industry!N10,Transport!N10,Services!N10,Households!N10,Agriculture!N10)</f>
        <v>21847.100999999999</v>
      </c>
      <c r="O10" s="19">
        <f>SUM(Industry!O10,Transport!O10,Services!O10,Households!O10,Agriculture!O10)</f>
        <v>22877.199999999997</v>
      </c>
      <c r="P10" s="19">
        <f>SUM(Industry!P10,Transport!P10,Services!P10,Households!P10,Agriculture!P10)</f>
        <v>23187.808999999997</v>
      </c>
      <c r="Q10" s="19">
        <f>SUM(Industry!Q10,Transport!Q10,Services!Q10,Households!Q10,Agriculture!Q10)</f>
        <v>23029.058000000001</v>
      </c>
      <c r="R10" s="19">
        <f>SUM(Industry!R10,Transport!R10,Services!R10,Households!R10,Agriculture!R10)</f>
        <v>23450.778000000002</v>
      </c>
      <c r="S10" s="19">
        <f>SUM(Industry!S10,Transport!S10,Services!S10,Households!S10,Agriculture!S10)</f>
        <v>22714.958000000002</v>
      </c>
      <c r="T10" s="19">
        <f>SUM(Industry!T10,Transport!T10,Services!T10,Households!T10,Agriculture!T10)</f>
        <v>23540.57</v>
      </c>
      <c r="U10" s="19">
        <f>SUM(Industry!U10,Transport!U10,Services!U10,Households!U10,Agriculture!U10)</f>
        <v>21568.993999999999</v>
      </c>
      <c r="V10" s="19">
        <f>SUM(Industry!V10,Transport!V10,Services!V10,Households!V10,Agriculture!V10)</f>
        <v>21825.41</v>
      </c>
      <c r="W10" s="19">
        <f>SUM(Industry!W10,Transport!W10,Services!W10,Households!W10,Agriculture!W10)</f>
        <v>22340.890999999996</v>
      </c>
      <c r="X10" s="19">
        <f>SUM(Industry!X10,Transport!X10,Services!X10,Households!X10,Agriculture!X10)</f>
        <v>22384.436000000002</v>
      </c>
      <c r="Y10" s="19">
        <f>SUM(Industry!Y10,Transport!Y10,Services!Y10,Households!Y10,Agriculture!Y10)</f>
        <v>21437.792999999998</v>
      </c>
      <c r="Z10" s="19">
        <f>SUM(Industry!Z10,Transport!Z10,Services!Z10,Households!Z10,Agriculture!Z10)</f>
        <v>21292.719000000001</v>
      </c>
      <c r="AA10" s="19">
        <f>SUM(Industry!AA10,Transport!AA10,Services!AA10,Households!AA10,Agriculture!AA10)</f>
        <v>21352.343000000001</v>
      </c>
      <c r="AB10" s="19">
        <f>SUM(Industry!AB10,Transport!AB10,Services!AB10,Households!AB10,Agriculture!AB10)</f>
        <v>21676.449000000001</v>
      </c>
      <c r="AC10" s="19">
        <f>SUM(Industry!AC10,Transport!AC10,Services!AC10,Households!AC10,Agriculture!AC10)</f>
        <v>22673.166000000001</v>
      </c>
      <c r="AD10" s="19">
        <f>SUM(Industry!AD10,Transport!AD10,Services!AD10,Households!AD10,Agriculture!AD10)</f>
        <v>23233.239000000001</v>
      </c>
      <c r="AE10" s="19">
        <f>SUM(Industry!AE10,Transport!AE10,Services!AE10,Households!AE10,Agriculture!AE10)</f>
        <v>23505.541000000005</v>
      </c>
      <c r="AF10" s="19">
        <f>SUM(Industry!AF10,Transport!AF10,Services!AF10,Households!AF10,Agriculture!AF10)</f>
        <v>23270.217999999997</v>
      </c>
      <c r="AG10" s="19">
        <f>SUM(Industry!AG10,Transport!AG10,Services!AG10,Households!AG10,Agriculture!AG10)</f>
        <v>24921.145999999997</v>
      </c>
      <c r="AH10" s="19">
        <f>SUM(Industry!AH10,Transport!AH10,Services!AH10,Households!AH10,Agriculture!AH10)</f>
        <v>23541.931999999997</v>
      </c>
      <c r="AI10" s="19">
        <f>SUM(Industry!AI10,Transport!AI10,Services!AI10,Households!AI10,Agriculture!AI10)</f>
        <v>22821.559000000001</v>
      </c>
      <c r="AJ10" s="19">
        <f>SUM(Industry!AJ10,Transport!AJ10,Services!AJ10,Households!AJ10,Agriculture!AJ10)</f>
        <v>22878.833000000002</v>
      </c>
    </row>
    <row r="11" spans="1:36" x14ac:dyDescent="0.35">
      <c r="A11" s="2" t="s">
        <v>46</v>
      </c>
      <c r="B11" s="19">
        <f>SUM(Industry!B11,Transport!B11,Services!B11,Households!B11,Agriculture!B11)</f>
        <v>3685.192</v>
      </c>
      <c r="C11" s="19">
        <f>SUM(Industry!C11,Transport!C11,Services!C11,Households!C11,Agriculture!C11)</f>
        <v>3682.7239999999997</v>
      </c>
      <c r="D11" s="19">
        <f>SUM(Industry!D11,Transport!D11,Services!D11,Households!D11,Agriculture!D11)</f>
        <v>3375.5289999999995</v>
      </c>
      <c r="E11" s="19">
        <f>SUM(Industry!E11,Transport!E11,Services!E11,Households!E11,Agriculture!E11)</f>
        <v>3651.788</v>
      </c>
      <c r="F11" s="19">
        <f>SUM(Industry!F11,Transport!F11,Services!F11,Households!F11,Agriculture!F11)</f>
        <v>3841.442</v>
      </c>
      <c r="G11" s="19">
        <f>SUM(Industry!G11,Transport!G11,Services!G11,Households!G11,Agriculture!G11)</f>
        <v>4061.4920000000002</v>
      </c>
      <c r="H11" s="19">
        <f>SUM(Industry!H11,Transport!H11,Services!H11,Households!H11,Agriculture!H11)</f>
        <v>4455.2119999999995</v>
      </c>
      <c r="I11" s="19">
        <f>SUM(Industry!I11,Transport!I11,Services!I11,Households!I11,Agriculture!I11)</f>
        <v>4527.2470000000003</v>
      </c>
      <c r="J11" s="19">
        <f>SUM(Industry!J11,Transport!J11,Services!J11,Households!J11,Agriculture!J11)</f>
        <v>4354.0879999999997</v>
      </c>
      <c r="K11" s="19">
        <f>SUM(Industry!K11,Transport!K11,Services!K11,Households!K11,Agriculture!K11)</f>
        <v>4395.1580000000004</v>
      </c>
      <c r="L11" s="19">
        <f>SUM(Industry!L11,Transport!L11,Services!L11,Households!L11,Agriculture!L11)</f>
        <v>4498.4280000000008</v>
      </c>
      <c r="M11" s="19">
        <f>SUM(Industry!M11,Transport!M11,Services!M11,Households!M11,Agriculture!M11)</f>
        <v>4738.9470000000001</v>
      </c>
      <c r="N11" s="19">
        <f>SUM(Industry!N11,Transport!N11,Services!N11,Households!N11,Agriculture!N11)</f>
        <v>4646.21</v>
      </c>
      <c r="O11" s="19">
        <f>SUM(Industry!O11,Transport!O11,Services!O11,Households!O11,Agriculture!O11)</f>
        <v>4812.4650000000001</v>
      </c>
      <c r="P11" s="19">
        <f>SUM(Industry!P11,Transport!P11,Services!P11,Households!P11,Agriculture!P11)</f>
        <v>4910.2479999999996</v>
      </c>
      <c r="Q11" s="19">
        <f>SUM(Industry!Q11,Transport!Q11,Services!Q11,Households!Q11,Agriculture!Q11)</f>
        <v>5088.3869999999997</v>
      </c>
      <c r="R11" s="19">
        <f>SUM(Industry!R11,Transport!R11,Services!R11,Households!R11,Agriculture!R11)</f>
        <v>5078.6939999999995</v>
      </c>
      <c r="S11" s="19">
        <f>SUM(Industry!S11,Transport!S11,Services!S11,Households!S11,Agriculture!S11)</f>
        <v>5084.4269999999997</v>
      </c>
      <c r="T11" s="19">
        <f>SUM(Industry!T11,Transport!T11,Services!T11,Households!T11,Agriculture!T11)</f>
        <v>5448.05</v>
      </c>
      <c r="U11" s="19">
        <f>SUM(Industry!U11,Transport!U11,Services!U11,Households!U11,Agriculture!U11)</f>
        <v>4818.143</v>
      </c>
      <c r="V11" s="19">
        <f>SUM(Industry!V11,Transport!V11,Services!V11,Households!V11,Agriculture!V11)</f>
        <v>5018.4940000000006</v>
      </c>
      <c r="W11" s="19">
        <f>SUM(Industry!W11,Transport!W11,Services!W11,Households!W11,Agriculture!W11)</f>
        <v>5017.1759999999995</v>
      </c>
      <c r="X11" s="19">
        <f>SUM(Industry!X11,Transport!X11,Services!X11,Households!X11,Agriculture!X11)</f>
        <v>4882.652</v>
      </c>
      <c r="Y11" s="19">
        <f>SUM(Industry!Y11,Transport!Y11,Services!Y11,Households!Y11,Agriculture!Y11)</f>
        <v>4783.53</v>
      </c>
      <c r="Z11" s="19">
        <f>SUM(Industry!Z11,Transport!Z11,Services!Z11,Households!Z11,Agriculture!Z11)</f>
        <v>4588.9590000000007</v>
      </c>
      <c r="AA11" s="19">
        <f>SUM(Industry!AA11,Transport!AA11,Services!AA11,Households!AA11,Agriculture!AA11)</f>
        <v>4701.7359999999999</v>
      </c>
      <c r="AB11" s="19">
        <f>SUM(Industry!AB11,Transport!AB11,Services!AB11,Households!AB11,Agriculture!AB11)</f>
        <v>4887.0020000000004</v>
      </c>
      <c r="AC11" s="19">
        <f>SUM(Industry!AC11,Transport!AC11,Services!AC11,Households!AC11,Agriculture!AC11)</f>
        <v>4954.7950000000001</v>
      </c>
      <c r="AD11" s="19">
        <f>SUM(Industry!AD11,Transport!AD11,Services!AD11,Households!AD11,Agriculture!AD11)</f>
        <v>4944.1769999999997</v>
      </c>
      <c r="AE11" s="19">
        <f>SUM(Industry!AE11,Transport!AE11,Services!AE11,Households!AE11,Agriculture!AE11)</f>
        <v>4850.7529999999997</v>
      </c>
      <c r="AF11" s="19">
        <f>SUM(Industry!AF11,Transport!AF11,Services!AF11,Households!AF11,Agriculture!AF11)</f>
        <v>4421.3130000000001</v>
      </c>
      <c r="AG11" s="19">
        <f>SUM(Industry!AG11,Transport!AG11,Services!AG11,Households!AG11,Agriculture!AG11)</f>
        <v>4750.6210000000001</v>
      </c>
      <c r="AH11" s="19">
        <f>SUM(Industry!AH11,Transport!AH11,Services!AH11,Households!AH11,Agriculture!AH11)</f>
        <v>4692.2909999999993</v>
      </c>
      <c r="AI11" s="19">
        <f>SUM(Industry!AI11,Transport!AI11,Services!AI11,Households!AI11,Agriculture!AI11)</f>
        <v>4459.6469999999999</v>
      </c>
      <c r="AJ11" s="19">
        <f>SUM(Industry!AJ11,Transport!AJ11,Services!AJ11,Households!AJ11,Agriculture!AJ11)</f>
        <v>4561.1629999999996</v>
      </c>
    </row>
    <row r="12" spans="1:36" x14ac:dyDescent="0.35">
      <c r="A12" s="2" t="s">
        <v>47</v>
      </c>
      <c r="B12" s="19">
        <f>SUM(Industry!B12,Transport!B12,Services!B12,Households!B12,Agriculture!B12)</f>
        <v>13838.906000000001</v>
      </c>
      <c r="C12" s="19">
        <f>SUM(Industry!C12,Transport!C12,Services!C12,Households!C12,Agriculture!C12)</f>
        <v>11798.444</v>
      </c>
      <c r="D12" s="19">
        <f>SUM(Industry!D12,Transport!D12,Services!D12,Households!D12,Agriculture!D12)</f>
        <v>11155.995000000001</v>
      </c>
      <c r="E12" s="19">
        <f>SUM(Industry!E12,Transport!E12,Services!E12,Households!E12,Agriculture!E12)</f>
        <v>10216.424000000001</v>
      </c>
      <c r="F12" s="19">
        <f>SUM(Industry!F12,Transport!F12,Services!F12,Households!F12,Agriculture!F12)</f>
        <v>9872.7990000000009</v>
      </c>
      <c r="G12" s="19">
        <f>SUM(Industry!G12,Transport!G12,Services!G12,Households!G12,Agriculture!G12)</f>
        <v>9939.5040000000008</v>
      </c>
      <c r="H12" s="19">
        <f>SUM(Industry!H12,Transport!H12,Services!H12,Households!H12,Agriculture!H12)</f>
        <v>10302.069</v>
      </c>
      <c r="I12" s="19">
        <f>SUM(Industry!I12,Transport!I12,Services!I12,Households!I12,Agriculture!I12)</f>
        <v>10314.162</v>
      </c>
      <c r="J12" s="19">
        <f>SUM(Industry!J12,Transport!J12,Services!J12,Households!J12,Agriculture!J12)</f>
        <v>10131.977999999999</v>
      </c>
      <c r="K12" s="19">
        <f>SUM(Industry!K12,Transport!K12,Services!K12,Households!K12,Agriculture!K12)</f>
        <v>9978.3610000000008</v>
      </c>
      <c r="L12" s="19">
        <f>SUM(Industry!L12,Transport!L12,Services!L12,Households!L12,Agriculture!L12)</f>
        <v>9925.3960000000006</v>
      </c>
      <c r="M12" s="19">
        <f>SUM(Industry!M12,Transport!M12,Services!M12,Households!M12,Agriculture!M12)</f>
        <v>10473.373000000001</v>
      </c>
      <c r="N12" s="19">
        <f>SUM(Industry!N12,Transport!N12,Services!N12,Households!N12,Agriculture!N12)</f>
        <v>10535.885</v>
      </c>
      <c r="O12" s="19">
        <f>SUM(Industry!O12,Transport!O12,Services!O12,Households!O12,Agriculture!O12)</f>
        <v>10006.197</v>
      </c>
      <c r="P12" s="19">
        <f>SUM(Industry!P12,Transport!P12,Services!P12,Households!P12,Agriculture!P12)</f>
        <v>9879.851999999999</v>
      </c>
      <c r="Q12" s="19">
        <f>SUM(Industry!Q12,Transport!Q12,Services!Q12,Households!Q12,Agriculture!Q12)</f>
        <v>10402.239</v>
      </c>
      <c r="R12" s="19">
        <f>SUM(Industry!R12,Transport!R12,Services!R12,Households!R12,Agriculture!R12)</f>
        <v>10110.855</v>
      </c>
      <c r="S12" s="19">
        <f>SUM(Industry!S12,Transport!S12,Services!S12,Households!S12,Agriculture!S12)</f>
        <v>10182.573999999999</v>
      </c>
      <c r="T12" s="19">
        <f>SUM(Industry!T12,Transport!T12,Services!T12,Households!T12,Agriculture!T12)</f>
        <v>10530.734</v>
      </c>
      <c r="U12" s="19">
        <f>SUM(Industry!U12,Transport!U12,Services!U12,Households!U12,Agriculture!U12)</f>
        <v>9654.6710000000003</v>
      </c>
      <c r="V12" s="19">
        <f>SUM(Industry!V12,Transport!V12,Services!V12,Households!V12,Agriculture!V12)</f>
        <v>11087.743999999999</v>
      </c>
      <c r="W12" s="19">
        <f>SUM(Industry!W12,Transport!W12,Services!W12,Households!W12,Agriculture!W12)</f>
        <v>10402.286999999998</v>
      </c>
      <c r="X12" s="19">
        <f>SUM(Industry!X12,Transport!X12,Services!X12,Households!X12,Agriculture!X12)</f>
        <v>9948.9660000000003</v>
      </c>
      <c r="Y12" s="19">
        <f>SUM(Industry!Y12,Transport!Y12,Services!Y12,Households!Y12,Agriculture!Y12)</f>
        <v>10107.882</v>
      </c>
      <c r="Z12" s="19">
        <f>SUM(Industry!Z12,Transport!Z12,Services!Z12,Households!Z12,Agriculture!Z12)</f>
        <v>9113.6140000000014</v>
      </c>
      <c r="AA12" s="19">
        <f>SUM(Industry!AA12,Transport!AA12,Services!AA12,Households!AA12,Agriculture!AA12)</f>
        <v>9525.3040000000001</v>
      </c>
      <c r="AB12" s="19">
        <f>SUM(Industry!AB12,Transport!AB12,Services!AB12,Households!AB12,Agriculture!AB12)</f>
        <v>9884.2129999999997</v>
      </c>
      <c r="AC12" s="19">
        <f>SUM(Industry!AC12,Transport!AC12,Services!AC12,Households!AC12,Agriculture!AC12)</f>
        <v>10538.547999999999</v>
      </c>
      <c r="AD12" s="19">
        <f>SUM(Industry!AD12,Transport!AD12,Services!AD12,Households!AD12,Agriculture!AD12)</f>
        <v>10400.003000000001</v>
      </c>
      <c r="AE12" s="19">
        <f>SUM(Industry!AE12,Transport!AE12,Services!AE12,Households!AE12,Agriculture!AE12)</f>
        <v>10242.954000000002</v>
      </c>
      <c r="AF12" s="19">
        <f>SUM(Industry!AF12,Transport!AF12,Services!AF12,Households!AF12,Agriculture!AF12)</f>
        <v>9611.1319999999996</v>
      </c>
      <c r="AG12" s="19">
        <f>SUM(Industry!AG12,Transport!AG12,Services!AG12,Households!AG12,Agriculture!AG12)</f>
        <v>10508.331</v>
      </c>
      <c r="AH12" s="19">
        <f>SUM(Industry!AH12,Transport!AH12,Services!AH12,Households!AH12,Agriculture!AH12)</f>
        <v>9923.616</v>
      </c>
      <c r="AI12" s="19">
        <f>SUM(Industry!AI12,Transport!AI12,Services!AI12,Households!AI12,Agriculture!AI12)</f>
        <v>9185.4420000000009</v>
      </c>
      <c r="AJ12" s="19">
        <f>SUM(Industry!AJ12,Transport!AJ12,Services!AJ12,Households!AJ12,Agriculture!AJ12)</f>
        <v>9054.9760000000006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Industry</vt:lpstr>
      <vt:lpstr>Transport</vt:lpstr>
      <vt:lpstr>Services</vt:lpstr>
      <vt:lpstr>Households</vt:lpstr>
      <vt:lpstr>Agriculture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Visan</cp:lastModifiedBy>
  <dcterms:created xsi:type="dcterms:W3CDTF">2026-01-05T12:07:18Z</dcterms:created>
  <dcterms:modified xsi:type="dcterms:W3CDTF">2026-01-05T13:22:46Z</dcterms:modified>
</cp:coreProperties>
</file>